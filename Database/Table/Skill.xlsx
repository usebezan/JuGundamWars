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Projects\Ju.GundamWars\Binary\"/>
    </mc:Choice>
  </mc:AlternateContent>
  <xr:revisionPtr revIDLastSave="0" documentId="13_ncr:1_{B4B46399-CB03-48C5-8D25-6C0079930657}" xr6:coauthVersionLast="47" xr6:coauthVersionMax="47" xr10:uidLastSave="{00000000-0000-0000-0000-000000000000}"/>
  <bookViews>
    <workbookView xWindow="14385" yWindow="-15" windowWidth="14430" windowHeight="15630" activeTab="3" xr2:uid="{064ECAC2-0018-4D0D-8343-7CDBC6F8A70F}"/>
  </bookViews>
  <sheets>
    <sheet name="Skill" sheetId="4" r:id="rId1"/>
    <sheet name="MobileSSkill" sheetId="2" r:id="rId2"/>
    <sheet name="PilotSkill" sheetId="3" r:id="rId3"/>
    <sheet name="Sheet3" sheetId="6" r:id="rId4"/>
  </sheets>
  <definedNames>
    <definedName name="_xlnm._FilterDatabase" localSheetId="1" hidden="1">MobileSSkill!$A$1:$F$75</definedName>
    <definedName name="_xlnm.Print_Titles" localSheetId="1">MobileSSkill!$1:$1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4" l="1"/>
  <c r="E5" i="4"/>
  <c r="E6" i="4"/>
  <c r="E7" i="4"/>
  <c r="E8" i="4"/>
  <c r="E9" i="4"/>
  <c r="E10" i="4"/>
  <c r="E2" i="3" s="1"/>
  <c r="E11" i="4"/>
  <c r="E3" i="3" s="1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7" i="3" s="1"/>
  <c r="E27" i="4"/>
  <c r="E6" i="3" s="1"/>
  <c r="E28" i="4"/>
  <c r="E29" i="4"/>
  <c r="E30" i="4"/>
  <c r="E31" i="4"/>
  <c r="E32" i="4"/>
  <c r="E33" i="4"/>
  <c r="E34" i="4"/>
  <c r="E35" i="4"/>
  <c r="E9" i="3" s="1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15" i="3" s="1"/>
  <c r="E52" i="4"/>
  <c r="E53" i="4"/>
  <c r="E54" i="4"/>
  <c r="E55" i="4"/>
  <c r="E56" i="4"/>
  <c r="E57" i="4"/>
  <c r="E58" i="4"/>
  <c r="E19" i="3" s="1"/>
  <c r="E59" i="4"/>
  <c r="E60" i="4"/>
  <c r="E61" i="4"/>
  <c r="E62" i="4"/>
  <c r="E63" i="4"/>
  <c r="E64" i="4"/>
  <c r="E65" i="4"/>
  <c r="E66" i="4"/>
  <c r="E23" i="3" s="1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29" i="3" s="1"/>
  <c r="E83" i="4"/>
  <c r="E31" i="3" s="1"/>
  <c r="E84" i="4"/>
  <c r="E85" i="4"/>
  <c r="E86" i="4"/>
  <c r="E87" i="4"/>
  <c r="E88" i="4"/>
  <c r="E89" i="4"/>
  <c r="E90" i="4"/>
  <c r="G15" i="2" s="1"/>
  <c r="E91" i="4"/>
  <c r="G16" i="2" s="1"/>
  <c r="E92" i="4"/>
  <c r="E93" i="4"/>
  <c r="E94" i="4"/>
  <c r="E95" i="4"/>
  <c r="E96" i="4"/>
  <c r="E97" i="4"/>
  <c r="E98" i="4"/>
  <c r="G21" i="2" s="1"/>
  <c r="E99" i="4"/>
  <c r="E36" i="3" s="1"/>
  <c r="E100" i="4"/>
  <c r="E101" i="4"/>
  <c r="E102" i="4"/>
  <c r="E103" i="4"/>
  <c r="E104" i="4"/>
  <c r="E105" i="4"/>
  <c r="E106" i="4"/>
  <c r="E43" i="3" s="1"/>
  <c r="E107" i="4"/>
  <c r="E44" i="3" s="1"/>
  <c r="E108" i="4"/>
  <c r="E109" i="4"/>
  <c r="E110" i="4"/>
  <c r="E111" i="4"/>
  <c r="E112" i="4"/>
  <c r="E113" i="4"/>
  <c r="E114" i="4"/>
  <c r="G59" i="2" s="1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67" i="3" s="1"/>
  <c r="E163" i="4"/>
  <c r="E164" i="4"/>
  <c r="E165" i="4"/>
  <c r="E166" i="4"/>
  <c r="E167" i="4"/>
  <c r="E168" i="4"/>
  <c r="E169" i="4"/>
  <c r="E170" i="4"/>
  <c r="E72" i="3" s="1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G69" i="2" s="1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G70" i="2" s="1"/>
  <c r="E219" i="4"/>
  <c r="E79" i="3" s="1"/>
  <c r="E220" i="4"/>
  <c r="E221" i="4"/>
  <c r="E222" i="4"/>
  <c r="E223" i="4"/>
  <c r="G9" i="2"/>
  <c r="E73" i="3"/>
  <c r="G71" i="2"/>
  <c r="E3" i="4"/>
  <c r="C2" i="6"/>
  <c r="C3" i="6"/>
  <c r="C4" i="6"/>
  <c r="C5" i="6"/>
  <c r="C6" i="6"/>
  <c r="C7" i="6"/>
  <c r="C8" i="6"/>
  <c r="C9" i="6"/>
  <c r="C16" i="6"/>
  <c r="C17" i="6"/>
  <c r="C18" i="6"/>
  <c r="C19" i="6"/>
  <c r="C20" i="6"/>
  <c r="C21" i="6"/>
  <c r="C10" i="6"/>
  <c r="C11" i="6"/>
  <c r="C12" i="6"/>
  <c r="C13" i="6"/>
  <c r="C14" i="6"/>
  <c r="C15" i="6"/>
  <c r="C1" i="6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58" i="4"/>
  <c r="I159" i="4"/>
  <c r="I160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B216" i="4" s="1"/>
  <c r="I217" i="4"/>
  <c r="I218" i="4"/>
  <c r="I219" i="4"/>
  <c r="I220" i="4"/>
  <c r="I221" i="4"/>
  <c r="I222" i="4"/>
  <c r="I223" i="4"/>
  <c r="I3" i="4"/>
  <c r="E69" i="3"/>
  <c r="E4" i="3"/>
  <c r="E5" i="3"/>
  <c r="G6" i="2"/>
  <c r="E12" i="3"/>
  <c r="G7" i="2"/>
  <c r="E13" i="3"/>
  <c r="E14" i="3"/>
  <c r="E17" i="3"/>
  <c r="E18" i="3"/>
  <c r="E20" i="3"/>
  <c r="E22" i="3"/>
  <c r="G11" i="2"/>
  <c r="E27" i="3"/>
  <c r="E26" i="3"/>
  <c r="E28" i="3"/>
  <c r="E33" i="3"/>
  <c r="E30" i="3"/>
  <c r="E24" i="3"/>
  <c r="G20" i="2"/>
  <c r="E38" i="3"/>
  <c r="G50" i="2"/>
  <c r="G42" i="2"/>
  <c r="E46" i="3"/>
  <c r="E47" i="3"/>
  <c r="E49" i="3"/>
  <c r="E50" i="3"/>
  <c r="G61" i="2"/>
  <c r="E60" i="3"/>
  <c r="E62" i="3"/>
  <c r="G68" i="2"/>
  <c r="E76" i="3"/>
  <c r="E80" i="3"/>
  <c r="G75" i="2"/>
  <c r="E8" i="3"/>
  <c r="E10" i="3"/>
  <c r="E11" i="3"/>
  <c r="E16" i="3"/>
  <c r="E21" i="3"/>
  <c r="E25" i="3"/>
  <c r="E32" i="3"/>
  <c r="E37" i="3"/>
  <c r="E39" i="3"/>
  <c r="E40" i="3"/>
  <c r="E45" i="3"/>
  <c r="E48" i="3"/>
  <c r="E52" i="3"/>
  <c r="E54" i="3"/>
  <c r="E55" i="3"/>
  <c r="E56" i="3"/>
  <c r="E57" i="3"/>
  <c r="E58" i="3"/>
  <c r="E59" i="3"/>
  <c r="E61" i="3"/>
  <c r="E63" i="3"/>
  <c r="E64" i="3"/>
  <c r="E65" i="3"/>
  <c r="E66" i="3"/>
  <c r="E68" i="3"/>
  <c r="E70" i="3"/>
  <c r="E71" i="3"/>
  <c r="E74" i="3"/>
  <c r="G5" i="2"/>
  <c r="G10" i="2"/>
  <c r="G12" i="2"/>
  <c r="G13" i="2"/>
  <c r="G17" i="2"/>
  <c r="G18" i="2"/>
  <c r="G29" i="2"/>
  <c r="G30" i="2"/>
  <c r="G31" i="2"/>
  <c r="G32" i="2"/>
  <c r="G35" i="2"/>
  <c r="G36" i="2"/>
  <c r="G37" i="2"/>
  <c r="G38" i="2"/>
  <c r="G39" i="2"/>
  <c r="G40" i="2"/>
  <c r="G54" i="2"/>
  <c r="G55" i="2"/>
  <c r="G56" i="2"/>
  <c r="G58" i="2"/>
  <c r="G60" i="2"/>
  <c r="G62" i="2"/>
  <c r="G63" i="2"/>
  <c r="G64" i="2"/>
  <c r="G66" i="2"/>
  <c r="G67" i="2"/>
  <c r="G74" i="2"/>
  <c r="E77" i="3" l="1"/>
  <c r="E78" i="3"/>
  <c r="G72" i="2"/>
  <c r="B24" i="4"/>
  <c r="B88" i="4"/>
  <c r="B32" i="4"/>
  <c r="B152" i="4"/>
  <c r="B208" i="4"/>
  <c r="B144" i="4"/>
  <c r="B80" i="4"/>
  <c r="B16" i="4"/>
  <c r="B7" i="4"/>
  <c r="B200" i="4"/>
  <c r="B136" i="4"/>
  <c r="B72" i="4"/>
  <c r="B8" i="4"/>
  <c r="B192" i="4"/>
  <c r="B128" i="4"/>
  <c r="B64" i="4"/>
  <c r="B184" i="4"/>
  <c r="B120" i="4"/>
  <c r="B56" i="4"/>
  <c r="B160" i="4"/>
  <c r="B112" i="4"/>
  <c r="B48" i="4"/>
  <c r="B171" i="4"/>
  <c r="B104" i="4"/>
  <c r="B40" i="4"/>
  <c r="B3" i="4"/>
  <c r="B163" i="4"/>
  <c r="B96" i="4"/>
  <c r="B223" i="4"/>
  <c r="B199" i="4"/>
  <c r="B222" i="4"/>
  <c r="B214" i="4"/>
  <c r="B206" i="4"/>
  <c r="B198" i="4"/>
  <c r="B190" i="4"/>
  <c r="B182" i="4"/>
  <c r="B158" i="4"/>
  <c r="B169" i="4"/>
  <c r="B161" i="4"/>
  <c r="B150" i="4"/>
  <c r="B142" i="4"/>
  <c r="B134" i="4"/>
  <c r="B126" i="4"/>
  <c r="B118" i="4"/>
  <c r="B110" i="4"/>
  <c r="B102" i="4"/>
  <c r="B94" i="4"/>
  <c r="B86" i="4"/>
  <c r="B78" i="4"/>
  <c r="B70" i="4"/>
  <c r="B62" i="4"/>
  <c r="B54" i="4"/>
  <c r="B46" i="4"/>
  <c r="B38" i="4"/>
  <c r="B30" i="4"/>
  <c r="B22" i="4"/>
  <c r="B14" i="4"/>
  <c r="B6" i="4"/>
  <c r="B221" i="4"/>
  <c r="B213" i="4"/>
  <c r="B205" i="4"/>
  <c r="B197" i="4"/>
  <c r="B189" i="4"/>
  <c r="B181" i="4"/>
  <c r="B176" i="4"/>
  <c r="B168" i="4"/>
  <c r="B157" i="4"/>
  <c r="B149" i="4"/>
  <c r="B141" i="4"/>
  <c r="B133" i="4"/>
  <c r="B125" i="4"/>
  <c r="B117" i="4"/>
  <c r="B109" i="4"/>
  <c r="B101" i="4"/>
  <c r="B93" i="4"/>
  <c r="B85" i="4"/>
  <c r="B77" i="4"/>
  <c r="B69" i="4"/>
  <c r="B61" i="4"/>
  <c r="B53" i="4"/>
  <c r="B45" i="4"/>
  <c r="B37" i="4"/>
  <c r="B29" i="4"/>
  <c r="B21" i="4"/>
  <c r="B13" i="4"/>
  <c r="B5" i="4"/>
  <c r="B220" i="4"/>
  <c r="B212" i="4"/>
  <c r="B204" i="4"/>
  <c r="B196" i="4"/>
  <c r="B188" i="4"/>
  <c r="B180" i="4"/>
  <c r="B175" i="4"/>
  <c r="B167" i="4"/>
  <c r="B156" i="4"/>
  <c r="B148" i="4"/>
  <c r="B140" i="4"/>
  <c r="B132" i="4"/>
  <c r="B124" i="4"/>
  <c r="B116" i="4"/>
  <c r="B108" i="4"/>
  <c r="B100" i="4"/>
  <c r="B92" i="4"/>
  <c r="B84" i="4"/>
  <c r="B76" i="4"/>
  <c r="B68" i="4"/>
  <c r="B60" i="4"/>
  <c r="B52" i="4"/>
  <c r="B44" i="4"/>
  <c r="B36" i="4"/>
  <c r="B28" i="4"/>
  <c r="B20" i="4"/>
  <c r="B12" i="4"/>
  <c r="B4" i="4"/>
  <c r="B219" i="4"/>
  <c r="B211" i="4"/>
  <c r="B203" i="4"/>
  <c r="B195" i="4"/>
  <c r="B187" i="4"/>
  <c r="B179" i="4"/>
  <c r="B174" i="4"/>
  <c r="B166" i="4"/>
  <c r="B155" i="4"/>
  <c r="B147" i="4"/>
  <c r="B139" i="4"/>
  <c r="B131" i="4"/>
  <c r="B123" i="4"/>
  <c r="B115" i="4"/>
  <c r="B107" i="4"/>
  <c r="B99" i="4"/>
  <c r="B91" i="4"/>
  <c r="B83" i="4"/>
  <c r="B75" i="4"/>
  <c r="B67" i="4"/>
  <c r="B59" i="4"/>
  <c r="B51" i="4"/>
  <c r="B43" i="4"/>
  <c r="B35" i="4"/>
  <c r="B27" i="4"/>
  <c r="B19" i="4"/>
  <c r="B11" i="4"/>
  <c r="B218" i="4"/>
  <c r="B210" i="4"/>
  <c r="B202" i="4"/>
  <c r="B194" i="4"/>
  <c r="B186" i="4"/>
  <c r="B178" i="4"/>
  <c r="B173" i="4"/>
  <c r="B165" i="4"/>
  <c r="B154" i="4"/>
  <c r="B146" i="4"/>
  <c r="B138" i="4"/>
  <c r="B130" i="4"/>
  <c r="B122" i="4"/>
  <c r="B114" i="4"/>
  <c r="B106" i="4"/>
  <c r="B98" i="4"/>
  <c r="B90" i="4"/>
  <c r="B82" i="4"/>
  <c r="B74" i="4"/>
  <c r="B66" i="4"/>
  <c r="B58" i="4"/>
  <c r="B50" i="4"/>
  <c r="B42" i="4"/>
  <c r="B34" i="4"/>
  <c r="B26" i="4"/>
  <c r="B18" i="4"/>
  <c r="B10" i="4"/>
  <c r="B217" i="4"/>
  <c r="B209" i="4"/>
  <c r="B201" i="4"/>
  <c r="B193" i="4"/>
  <c r="B185" i="4"/>
  <c r="B177" i="4"/>
  <c r="B172" i="4"/>
  <c r="B164" i="4"/>
  <c r="B153" i="4"/>
  <c r="B145" i="4"/>
  <c r="B137" i="4"/>
  <c r="B129" i="4"/>
  <c r="B121" i="4"/>
  <c r="B113" i="4"/>
  <c r="B105" i="4"/>
  <c r="B97" i="4"/>
  <c r="B89" i="4"/>
  <c r="B81" i="4"/>
  <c r="B73" i="4"/>
  <c r="B65" i="4"/>
  <c r="B57" i="4"/>
  <c r="B49" i="4"/>
  <c r="B41" i="4"/>
  <c r="B33" i="4"/>
  <c r="B25" i="4"/>
  <c r="B17" i="4"/>
  <c r="B9" i="4"/>
  <c r="B215" i="4"/>
  <c r="B207" i="4"/>
  <c r="B191" i="4"/>
  <c r="B183" i="4"/>
  <c r="B159" i="4"/>
  <c r="B170" i="4"/>
  <c r="B162" i="4"/>
  <c r="B151" i="4"/>
  <c r="B143" i="4"/>
  <c r="B135" i="4"/>
  <c r="B127" i="4"/>
  <c r="B119" i="4"/>
  <c r="B111" i="4"/>
  <c r="B103" i="4"/>
  <c r="B95" i="4"/>
  <c r="B87" i="4"/>
  <c r="B79" i="4"/>
  <c r="B71" i="4"/>
  <c r="B63" i="4"/>
  <c r="B55" i="4"/>
  <c r="B47" i="4"/>
  <c r="B39" i="4"/>
  <c r="B31" i="4"/>
  <c r="B23" i="4"/>
  <c r="B15" i="4"/>
  <c r="G14" i="2"/>
  <c r="G2" i="2"/>
  <c r="G53" i="2"/>
  <c r="G73" i="2"/>
  <c r="G52" i="2"/>
  <c r="E41" i="3"/>
  <c r="G51" i="2"/>
  <c r="G57" i="2"/>
  <c r="G8" i="2"/>
  <c r="G65" i="2"/>
  <c r="G44" i="2"/>
  <c r="G28" i="2"/>
  <c r="E51" i="3"/>
  <c r="E75" i="3"/>
  <c r="G41" i="2"/>
  <c r="G19" i="2"/>
  <c r="E42" i="3"/>
  <c r="G48" i="2"/>
  <c r="G4" i="2"/>
  <c r="G47" i="2"/>
  <c r="G23" i="2"/>
  <c r="G3" i="2"/>
  <c r="G46" i="2"/>
  <c r="G22" i="2"/>
  <c r="E35" i="3"/>
  <c r="G49" i="2"/>
  <c r="E34" i="3"/>
  <c r="E53" i="3"/>
  <c r="G43" i="2"/>
  <c r="G27" i="2"/>
  <c r="G34" i="2"/>
  <c r="G26" i="2"/>
  <c r="G33" i="2"/>
  <c r="G25" i="2"/>
  <c r="G24" i="2"/>
  <c r="G45" i="2"/>
</calcChain>
</file>

<file path=xl/sharedStrings.xml><?xml version="1.0" encoding="utf-8"?>
<sst xmlns="http://schemas.openxmlformats.org/spreadsheetml/2006/main" count="940" uniqueCount="352">
  <si>
    <t>回復</t>
  </si>
  <si>
    <t>耐性</t>
  </si>
  <si>
    <t>解除（特殊状態）</t>
  </si>
  <si>
    <t>ステータス低下</t>
  </si>
  <si>
    <t>ステータス上昇</t>
  </si>
  <si>
    <t>状態異常</t>
  </si>
  <si>
    <t>特殊状態</t>
  </si>
  <si>
    <t>Order</t>
  </si>
  <si>
    <t>Grade</t>
  </si>
  <si>
    <t>Name</t>
  </si>
  <si>
    <t>Group</t>
  </si>
  <si>
    <t>Id</t>
  </si>
  <si>
    <t>特殊攻撃</t>
  </si>
  <si>
    <t>クリティカル確定</t>
  </si>
  <si>
    <t>ENダメージ</t>
  </si>
  <si>
    <t>ビームダメージ上昇</t>
  </si>
  <si>
    <t>実弾ダメージ上昇</t>
  </si>
  <si>
    <t>ライトアーマー</t>
  </si>
  <si>
    <t>スーパーアーマー</t>
  </si>
  <si>
    <t>パリィ</t>
  </si>
  <si>
    <t>ビームダメージ無効</t>
  </si>
  <si>
    <t>実弾ダメージ軽減</t>
  </si>
  <si>
    <t>能力低下無効</t>
  </si>
  <si>
    <t>クリティカル無効</t>
  </si>
  <si>
    <t>プロテクション</t>
  </si>
  <si>
    <t>EN回復上昇</t>
  </si>
  <si>
    <t>ビーム攻撃ブースト（チェイン）</t>
  </si>
  <si>
    <t>実弾攻撃ブースト（チェイン）</t>
  </si>
  <si>
    <t>ビーム防御ブースト（チェイン）</t>
  </si>
  <si>
    <t>命中ブースト（チェイン）</t>
  </si>
  <si>
    <t>機動ブースト（チェイン）</t>
  </si>
  <si>
    <t>ビーム防御カット（チェイン）</t>
  </si>
  <si>
    <t>実弾防御カット（チェイン）</t>
  </si>
  <si>
    <t>命中カット（チェイン）</t>
  </si>
  <si>
    <t>機動カット（チェイン）</t>
  </si>
  <si>
    <t>ノイズ</t>
  </si>
  <si>
    <t>リスク</t>
  </si>
  <si>
    <t>スリープ</t>
  </si>
  <si>
    <t>スタン</t>
  </si>
  <si>
    <t>移動不可</t>
  </si>
  <si>
    <t>遠距離不可</t>
  </si>
  <si>
    <t>スキル不可</t>
  </si>
  <si>
    <t>回復不可</t>
  </si>
  <si>
    <t>EN不可</t>
  </si>
  <si>
    <t>ENスリップ</t>
  </si>
  <si>
    <t>ビーム攻撃上昇</t>
  </si>
  <si>
    <t>実弾攻撃上昇</t>
  </si>
  <si>
    <t>ビーム・実弾攻撃上昇</t>
  </si>
  <si>
    <t>ビーム防御上昇</t>
  </si>
  <si>
    <t>実弾防御上昇</t>
  </si>
  <si>
    <t>ビーム・実弾防御上昇</t>
  </si>
  <si>
    <t>クリ率上昇</t>
  </si>
  <si>
    <t>クリダメ上昇</t>
  </si>
  <si>
    <t>命中上昇</t>
  </si>
  <si>
    <t>回避上昇</t>
  </si>
  <si>
    <t>機動上昇</t>
  </si>
  <si>
    <t>戦艦防御上昇</t>
  </si>
  <si>
    <t>ビーム攻撃低下</t>
  </si>
  <si>
    <t>実弾攻撃低下</t>
  </si>
  <si>
    <t>ビーム・実弾攻撃低下</t>
  </si>
  <si>
    <t>ビーム防御低下</t>
  </si>
  <si>
    <t>実弾防御低下</t>
  </si>
  <si>
    <t>ビーム・実弾防御低下</t>
  </si>
  <si>
    <t>クリダメ低下</t>
  </si>
  <si>
    <t>命中低下</t>
  </si>
  <si>
    <t>回避低下</t>
  </si>
  <si>
    <t>機動低下</t>
  </si>
  <si>
    <t>ビームカウンター解除</t>
  </si>
  <si>
    <t>クリティカル無効解除</t>
  </si>
  <si>
    <t>鉄壁解除</t>
  </si>
  <si>
    <t>ビーム防御ブースト（チェイン）解除</t>
  </si>
  <si>
    <t>実弾防御ブースト（チェイン）解除</t>
  </si>
  <si>
    <t>ビーム攻撃カット（チェイン）解除</t>
  </si>
  <si>
    <t>実弾攻撃カット（チェイン）解除</t>
  </si>
  <si>
    <t>ビーム防御カット（チェイン）解除</t>
  </si>
  <si>
    <t>解除（状態異常）</t>
  </si>
  <si>
    <t>回復不可解除</t>
  </si>
  <si>
    <t>EN増加不能解除</t>
  </si>
  <si>
    <t>武装破壊（必中攻撃）解除</t>
  </si>
  <si>
    <t>解除（ステータス上昇）</t>
  </si>
  <si>
    <t>実弾攻撃上昇解除</t>
  </si>
  <si>
    <t>ビーム防御上昇解除</t>
  </si>
  <si>
    <t>実弾防御上昇解除</t>
  </si>
  <si>
    <t>回避上昇解除</t>
  </si>
  <si>
    <t>解除（ステータス低下）</t>
  </si>
  <si>
    <t>ビーム攻撃低下解除</t>
  </si>
  <si>
    <t>実弾攻撃低下解除</t>
  </si>
  <si>
    <t>クリダメ低下解除</t>
  </si>
  <si>
    <t>回避低下解除</t>
  </si>
  <si>
    <t>スタン耐性</t>
  </si>
  <si>
    <t>スキル不可耐性</t>
  </si>
  <si>
    <t>状態異常無効</t>
  </si>
  <si>
    <t>HP回復</t>
  </si>
  <si>
    <t>状態異常回復</t>
  </si>
  <si>
    <t>継続回復</t>
  </si>
  <si>
    <t>範囲</t>
    <rPh sb="0" eb="2">
      <t>ハンイ</t>
    </rPh>
    <phoneticPr fontId="2"/>
  </si>
  <si>
    <t>特定の対象</t>
    <rPh sb="0" eb="2">
      <t>トクテイ</t>
    </rPh>
    <rPh sb="3" eb="5">
      <t>タイショウ</t>
    </rPh>
    <phoneticPr fontId="2"/>
  </si>
  <si>
    <t>属性</t>
    <rPh sb="0" eb="2">
      <t>ゾクセイ</t>
    </rPh>
    <phoneticPr fontId="2"/>
  </si>
  <si>
    <t>特殊効果</t>
    <rPh sb="0" eb="2">
      <t>トクシュ</t>
    </rPh>
    <rPh sb="2" eb="4">
      <t>コウカ</t>
    </rPh>
    <phoneticPr fontId="2"/>
  </si>
  <si>
    <t>特殊攻撃</t>
    <rPh sb="0" eb="2">
      <t>トクシュ</t>
    </rPh>
    <rPh sb="2" eb="4">
      <t>コウゲキ</t>
    </rPh>
    <phoneticPr fontId="2"/>
  </si>
  <si>
    <t>特殊状態</t>
    <rPh sb="0" eb="2">
      <t>トクシュ</t>
    </rPh>
    <rPh sb="2" eb="4">
      <t>ジョウタイ</t>
    </rPh>
    <phoneticPr fontId="2"/>
  </si>
  <si>
    <t>状態異常</t>
    <rPh sb="0" eb="2">
      <t>ジョウタイ</t>
    </rPh>
    <rPh sb="2" eb="4">
      <t>イジョウ</t>
    </rPh>
    <phoneticPr fontId="2"/>
  </si>
  <si>
    <t>ステータス上昇</t>
    <rPh sb="5" eb="7">
      <t>ジョウショウ</t>
    </rPh>
    <phoneticPr fontId="2"/>
  </si>
  <si>
    <t>ステータス低下</t>
    <rPh sb="5" eb="7">
      <t>テイカ</t>
    </rPh>
    <phoneticPr fontId="2"/>
  </si>
  <si>
    <t>解除</t>
    <rPh sb="0" eb="2">
      <t>カイジョ</t>
    </rPh>
    <phoneticPr fontId="2"/>
  </si>
  <si>
    <t>耐性</t>
    <rPh sb="0" eb="2">
      <t>タイセイ</t>
    </rPh>
    <phoneticPr fontId="2"/>
  </si>
  <si>
    <t>回復</t>
    <rPh sb="0" eb="2">
      <t>カイフク</t>
    </rPh>
    <phoneticPr fontId="2"/>
  </si>
  <si>
    <t>威力上昇</t>
    <rPh sb="0" eb="2">
      <t>イリョク</t>
    </rPh>
    <rPh sb="2" eb="4">
      <t>ジョウショウ</t>
    </rPh>
    <phoneticPr fontId="2"/>
  </si>
  <si>
    <t>追撃</t>
    <rPh sb="0" eb="2">
      <t>ツイゲキ</t>
    </rPh>
    <phoneticPr fontId="2"/>
  </si>
  <si>
    <t>トラップ</t>
    <phoneticPr fontId="2"/>
  </si>
  <si>
    <t>その他</t>
    <rPh sb="2" eb="3">
      <t>タ</t>
    </rPh>
    <phoneticPr fontId="2"/>
  </si>
  <si>
    <t>多段攻撃</t>
    <rPh sb="0" eb="2">
      <t>タダン</t>
    </rPh>
    <rPh sb="2" eb="4">
      <t>コウゲキ</t>
    </rPh>
    <phoneticPr fontId="2"/>
  </si>
  <si>
    <t>多段攻撃（フィニッシュブロー）</t>
    <rPh sb="0" eb="2">
      <t>タダン</t>
    </rPh>
    <rPh sb="2" eb="4">
      <t>コウゲキ</t>
    </rPh>
    <phoneticPr fontId="2"/>
  </si>
  <si>
    <t>ひきよせ</t>
    <phoneticPr fontId="2"/>
  </si>
  <si>
    <t>ひきよせ・改</t>
    <rPh sb="5" eb="6">
      <t>カイ</t>
    </rPh>
    <phoneticPr fontId="2"/>
  </si>
  <si>
    <t>ノックバック</t>
    <phoneticPr fontId="2"/>
  </si>
  <si>
    <t>ダメージ軽減無効攻撃</t>
    <rPh sb="4" eb="6">
      <t>ケイゲン</t>
    </rPh>
    <rPh sb="6" eb="8">
      <t>ムコウ</t>
    </rPh>
    <rPh sb="8" eb="10">
      <t>コウゲキ</t>
    </rPh>
    <phoneticPr fontId="2"/>
  </si>
  <si>
    <t>クリティカル攻撃</t>
    <rPh sb="6" eb="8">
      <t>コウゲキ</t>
    </rPh>
    <phoneticPr fontId="2"/>
  </si>
  <si>
    <t>クリティカル確定</t>
    <rPh sb="6" eb="8">
      <t>カクテイ</t>
    </rPh>
    <phoneticPr fontId="2"/>
  </si>
  <si>
    <t>捨て身攻撃</t>
    <rPh sb="0" eb="1">
      <t>ス</t>
    </rPh>
    <rPh sb="2" eb="3">
      <t>ミ</t>
    </rPh>
    <rPh sb="3" eb="5">
      <t>コウゲキ</t>
    </rPh>
    <phoneticPr fontId="2"/>
  </si>
  <si>
    <t>自爆</t>
    <rPh sb="0" eb="2">
      <t>ジバク</t>
    </rPh>
    <phoneticPr fontId="2"/>
  </si>
  <si>
    <t>必中攻撃</t>
    <rPh sb="0" eb="2">
      <t>ヒッチュウ</t>
    </rPh>
    <rPh sb="2" eb="4">
      <t>コウゲキ</t>
    </rPh>
    <phoneticPr fontId="2"/>
  </si>
  <si>
    <t>チェイン攻撃</t>
    <rPh sb="4" eb="6">
      <t>コウゲキ</t>
    </rPh>
    <phoneticPr fontId="2"/>
  </si>
  <si>
    <t>チェインバースト</t>
    <phoneticPr fontId="2"/>
  </si>
  <si>
    <t>防御無視攻撃</t>
    <rPh sb="0" eb="2">
      <t>ボウギョ</t>
    </rPh>
    <rPh sb="2" eb="4">
      <t>ムシ</t>
    </rPh>
    <rPh sb="4" eb="6">
      <t>コウゲキ</t>
    </rPh>
    <phoneticPr fontId="2"/>
  </si>
  <si>
    <t>直撃</t>
    <rPh sb="0" eb="2">
      <t>チョクゲキ</t>
    </rPh>
    <phoneticPr fontId="2"/>
  </si>
  <si>
    <t>回数制限</t>
    <rPh sb="0" eb="2">
      <t>カイスウ</t>
    </rPh>
    <rPh sb="2" eb="4">
      <t>セイゲン</t>
    </rPh>
    <phoneticPr fontId="2"/>
  </si>
  <si>
    <t>貫通攻撃（プロテクション）</t>
    <rPh sb="0" eb="2">
      <t>カンツウ</t>
    </rPh>
    <rPh sb="2" eb="4">
      <t>コウゲキ</t>
    </rPh>
    <phoneticPr fontId="2"/>
  </si>
  <si>
    <t>貫通攻撃（状態異常耐性）</t>
    <rPh sb="0" eb="2">
      <t>カンツウ</t>
    </rPh>
    <rPh sb="2" eb="4">
      <t>コウゲキ</t>
    </rPh>
    <rPh sb="5" eb="7">
      <t>ジョウタイ</t>
    </rPh>
    <rPh sb="7" eb="9">
      <t>イジョウ</t>
    </rPh>
    <rPh sb="9" eb="11">
      <t>タイセイ</t>
    </rPh>
    <phoneticPr fontId="2"/>
  </si>
  <si>
    <t>貫通攻撃（ダメージブロック）</t>
    <rPh sb="0" eb="2">
      <t>カンツウ</t>
    </rPh>
    <rPh sb="2" eb="4">
      <t>コウゲキ</t>
    </rPh>
    <phoneticPr fontId="2"/>
  </si>
  <si>
    <t>HPコンバート（ダメージ）</t>
    <phoneticPr fontId="2"/>
  </si>
  <si>
    <t>特殊状態</t>
    <rPh sb="2" eb="4">
      <t>ジョウタイ</t>
    </rPh>
    <phoneticPr fontId="2"/>
  </si>
  <si>
    <t>ビームダメージ上昇</t>
    <rPh sb="7" eb="9">
      <t>ジョウショウ</t>
    </rPh>
    <phoneticPr fontId="2"/>
  </si>
  <si>
    <t>実弾ダメージ上昇</t>
    <rPh sb="0" eb="2">
      <t>ジツダン</t>
    </rPh>
    <rPh sb="6" eb="8">
      <t>ジョウショウ</t>
    </rPh>
    <phoneticPr fontId="2"/>
  </si>
  <si>
    <t>スーパーアーマー</t>
    <phoneticPr fontId="2"/>
  </si>
  <si>
    <t>ライトアーマー</t>
    <phoneticPr fontId="2"/>
  </si>
  <si>
    <t>分身</t>
    <rPh sb="0" eb="2">
      <t>ブンシン</t>
    </rPh>
    <phoneticPr fontId="2"/>
  </si>
  <si>
    <t>ビームカウンター</t>
  </si>
  <si>
    <t>ビームカウンター</t>
    <phoneticPr fontId="2"/>
  </si>
  <si>
    <t>実弾カウンター</t>
  </si>
  <si>
    <t>実弾カウンター</t>
    <rPh sb="0" eb="2">
      <t>ジツダン</t>
    </rPh>
    <phoneticPr fontId="2"/>
  </si>
  <si>
    <t>回避カウンター</t>
    <rPh sb="0" eb="2">
      <t>カイヒ</t>
    </rPh>
    <phoneticPr fontId="2"/>
  </si>
  <si>
    <t>ビームダメージ軽減</t>
    <rPh sb="7" eb="9">
      <t>ケイゲン</t>
    </rPh>
    <phoneticPr fontId="2"/>
  </si>
  <si>
    <t>実弾ダメージ軽減</t>
    <rPh sb="0" eb="2">
      <t>ジツダン</t>
    </rPh>
    <rPh sb="6" eb="8">
      <t>ケイゲン</t>
    </rPh>
    <phoneticPr fontId="2"/>
  </si>
  <si>
    <t>ビームダメージ無効</t>
    <rPh sb="7" eb="9">
      <t>ムコウ</t>
    </rPh>
    <phoneticPr fontId="2"/>
  </si>
  <si>
    <t>実弾ダメージ無効</t>
    <rPh sb="0" eb="2">
      <t>ジツダン</t>
    </rPh>
    <rPh sb="6" eb="8">
      <t>ムコウ</t>
    </rPh>
    <phoneticPr fontId="2"/>
  </si>
  <si>
    <t>ENダメージ無効</t>
    <rPh sb="6" eb="8">
      <t>ムコウ</t>
    </rPh>
    <phoneticPr fontId="2"/>
  </si>
  <si>
    <t>能力低下無効</t>
    <rPh sb="0" eb="2">
      <t>ノウリョク</t>
    </rPh>
    <rPh sb="2" eb="4">
      <t>テイカ</t>
    </rPh>
    <rPh sb="4" eb="6">
      <t>ムコウ</t>
    </rPh>
    <phoneticPr fontId="2"/>
  </si>
  <si>
    <t>クリティカル無効</t>
    <rPh sb="6" eb="8">
      <t>ムコウ</t>
    </rPh>
    <phoneticPr fontId="2"/>
  </si>
  <si>
    <t>ビームダメージブロック</t>
    <phoneticPr fontId="2"/>
  </si>
  <si>
    <t>実弾ダメージブロック</t>
    <rPh sb="0" eb="2">
      <t>ジツダン</t>
    </rPh>
    <phoneticPr fontId="2"/>
  </si>
  <si>
    <t>ビームダメージブロック（チェイン）</t>
    <phoneticPr fontId="2"/>
  </si>
  <si>
    <t>実弾ダメージブロック（チェイン）</t>
    <rPh sb="0" eb="2">
      <t>ジツダン</t>
    </rPh>
    <phoneticPr fontId="2"/>
  </si>
  <si>
    <t>鉄壁</t>
  </si>
  <si>
    <t>鉄壁</t>
    <rPh sb="0" eb="2">
      <t>テッペキ</t>
    </rPh>
    <phoneticPr fontId="2"/>
  </si>
  <si>
    <t>鉄壁（効果ダメージ）</t>
    <rPh sb="0" eb="2">
      <t>テッペキ</t>
    </rPh>
    <rPh sb="3" eb="5">
      <t>コウカ</t>
    </rPh>
    <phoneticPr fontId="2"/>
  </si>
  <si>
    <t>鉄壁（攻撃ダメージ）</t>
    <rPh sb="0" eb="2">
      <t>テッペキ</t>
    </rPh>
    <rPh sb="3" eb="5">
      <t>コウゲキ</t>
    </rPh>
    <phoneticPr fontId="2"/>
  </si>
  <si>
    <t>プロテクション</t>
    <phoneticPr fontId="2"/>
  </si>
  <si>
    <t>EN回復上昇</t>
    <rPh sb="2" eb="4">
      <t>カイフク</t>
    </rPh>
    <rPh sb="4" eb="6">
      <t>ジョウショウ</t>
    </rPh>
    <phoneticPr fontId="2"/>
  </si>
  <si>
    <t>EN回復低下</t>
    <rPh sb="2" eb="4">
      <t>カイフク</t>
    </rPh>
    <rPh sb="4" eb="6">
      <t>テイカ</t>
    </rPh>
    <phoneticPr fontId="2"/>
  </si>
  <si>
    <t>ビーム攻撃ブースト（チェイン）</t>
    <rPh sb="3" eb="5">
      <t>コウゲキ</t>
    </rPh>
    <phoneticPr fontId="2"/>
  </si>
  <si>
    <t>実弾攻撃ブースト（チェイン）</t>
    <rPh sb="0" eb="2">
      <t>ジツダン</t>
    </rPh>
    <rPh sb="2" eb="4">
      <t>コウゲキ</t>
    </rPh>
    <phoneticPr fontId="2"/>
  </si>
  <si>
    <t>ビーム防御ブースト（チェイン）</t>
    <rPh sb="3" eb="5">
      <t>ボウギョ</t>
    </rPh>
    <phoneticPr fontId="2"/>
  </si>
  <si>
    <t>実弾防御ブースト（チェイン）</t>
    <rPh sb="0" eb="2">
      <t>ジツダン</t>
    </rPh>
    <rPh sb="2" eb="4">
      <t>ボウギョ</t>
    </rPh>
    <phoneticPr fontId="2"/>
  </si>
  <si>
    <t>機動ブースト（チェイン）</t>
    <rPh sb="0" eb="2">
      <t>キドウ</t>
    </rPh>
    <phoneticPr fontId="2"/>
  </si>
  <si>
    <t>命中ブースト（チェイン）</t>
    <rPh sb="0" eb="2">
      <t>メイチュウ</t>
    </rPh>
    <phoneticPr fontId="2"/>
  </si>
  <si>
    <t>回避ブースト（チェイン）</t>
    <rPh sb="0" eb="2">
      <t>カイヒ</t>
    </rPh>
    <phoneticPr fontId="2"/>
  </si>
  <si>
    <t>クリダメブースト（チェイン）</t>
    <phoneticPr fontId="2"/>
  </si>
  <si>
    <t>実弾攻撃カット（チェイン）</t>
    <rPh sb="0" eb="2">
      <t>ジツダン</t>
    </rPh>
    <rPh sb="2" eb="4">
      <t>コウゲキ</t>
    </rPh>
    <phoneticPr fontId="2"/>
  </si>
  <si>
    <t>ビーム防御カット（チェイン）</t>
    <rPh sb="3" eb="5">
      <t>ボウギョ</t>
    </rPh>
    <phoneticPr fontId="2"/>
  </si>
  <si>
    <t>実弾防御カット（チェイン）</t>
    <rPh sb="0" eb="2">
      <t>ジツダン</t>
    </rPh>
    <rPh sb="2" eb="4">
      <t>ボウギョ</t>
    </rPh>
    <phoneticPr fontId="2"/>
  </si>
  <si>
    <t>機動カット（チェイン）</t>
    <rPh sb="0" eb="2">
      <t>キドウ</t>
    </rPh>
    <phoneticPr fontId="2"/>
  </si>
  <si>
    <t>命中カット（チェイン）</t>
    <rPh sb="0" eb="2">
      <t>メイチュウ</t>
    </rPh>
    <phoneticPr fontId="2"/>
  </si>
  <si>
    <t>回避カット（チェイン）</t>
    <rPh sb="0" eb="2">
      <t>カイヒ</t>
    </rPh>
    <phoneticPr fontId="2"/>
  </si>
  <si>
    <t>クリダメカット（チェイン）</t>
  </si>
  <si>
    <t>ビーム攻撃カット（チェイン）</t>
    <rPh sb="3" eb="5">
      <t>コウゲキ</t>
    </rPh>
    <phoneticPr fontId="2"/>
  </si>
  <si>
    <t>逆境（攻撃）</t>
  </si>
  <si>
    <t>逆境（攻撃）</t>
    <rPh sb="0" eb="2">
      <t>ギャッキョウ</t>
    </rPh>
    <rPh sb="3" eb="5">
      <t>コウゲキ</t>
    </rPh>
    <phoneticPr fontId="2"/>
  </si>
  <si>
    <t>逆境（防御）</t>
  </si>
  <si>
    <t>逆境（防御）</t>
    <rPh sb="0" eb="2">
      <t>ギャッキョウ</t>
    </rPh>
    <rPh sb="3" eb="5">
      <t>ボウギョ</t>
    </rPh>
    <phoneticPr fontId="2"/>
  </si>
  <si>
    <t>逆境（回復）</t>
  </si>
  <si>
    <t>逆境（回復）</t>
    <rPh sb="0" eb="2">
      <t>ギャッキョウ</t>
    </rPh>
    <rPh sb="3" eb="5">
      <t>カイフク</t>
    </rPh>
    <phoneticPr fontId="2"/>
  </si>
  <si>
    <t>ガッツ</t>
    <phoneticPr fontId="2"/>
  </si>
  <si>
    <t>背水（能力強化）</t>
    <rPh sb="0" eb="2">
      <t>ハイスイ</t>
    </rPh>
    <rPh sb="3" eb="5">
      <t>ノウリョク</t>
    </rPh>
    <rPh sb="5" eb="7">
      <t>キョウカ</t>
    </rPh>
    <phoneticPr fontId="2"/>
  </si>
  <si>
    <t>背水（能力低下無視）</t>
    <rPh sb="0" eb="2">
      <t>ハイスイ</t>
    </rPh>
    <rPh sb="3" eb="5">
      <t>ノウリョク</t>
    </rPh>
    <rPh sb="5" eb="7">
      <t>テイカ</t>
    </rPh>
    <rPh sb="7" eb="9">
      <t>ムシ</t>
    </rPh>
    <phoneticPr fontId="2"/>
  </si>
  <si>
    <t>背水（状態異常無視）</t>
    <rPh sb="0" eb="2">
      <t>ハイスイ</t>
    </rPh>
    <rPh sb="3" eb="5">
      <t>ジョウタイ</t>
    </rPh>
    <rPh sb="5" eb="7">
      <t>イジョウ</t>
    </rPh>
    <rPh sb="7" eb="9">
      <t>ムシ</t>
    </rPh>
    <phoneticPr fontId="2"/>
  </si>
  <si>
    <t>リミットブレイク（＋）</t>
    <phoneticPr fontId="2"/>
  </si>
  <si>
    <t>リミットブレイク（－）</t>
    <phoneticPr fontId="2"/>
  </si>
  <si>
    <t>ビーム攻撃上昇</t>
    <rPh sb="3" eb="5">
      <t>コウゲキ</t>
    </rPh>
    <rPh sb="5" eb="7">
      <t>ジョウショウ</t>
    </rPh>
    <phoneticPr fontId="2"/>
  </si>
  <si>
    <t>実弾攻撃上昇</t>
    <rPh sb="0" eb="2">
      <t>ジツダン</t>
    </rPh>
    <rPh sb="2" eb="4">
      <t>コウゲキ</t>
    </rPh>
    <rPh sb="4" eb="6">
      <t>ジョウショウ</t>
    </rPh>
    <phoneticPr fontId="2"/>
  </si>
  <si>
    <t>ビーム防御上昇</t>
    <rPh sb="3" eb="5">
      <t>ボウギョ</t>
    </rPh>
    <rPh sb="5" eb="7">
      <t>ジョウショウ</t>
    </rPh>
    <phoneticPr fontId="2"/>
  </si>
  <si>
    <t>実弾防御上昇</t>
    <rPh sb="0" eb="2">
      <t>ジツダン</t>
    </rPh>
    <rPh sb="2" eb="4">
      <t>ボウギョ</t>
    </rPh>
    <rPh sb="4" eb="6">
      <t>ジョウショウ</t>
    </rPh>
    <phoneticPr fontId="2"/>
  </si>
  <si>
    <t>命中上昇</t>
    <rPh sb="0" eb="2">
      <t>メイチュウ</t>
    </rPh>
    <rPh sb="2" eb="4">
      <t>ジョウショウ</t>
    </rPh>
    <phoneticPr fontId="2"/>
  </si>
  <si>
    <t>機動上昇</t>
    <rPh sb="0" eb="2">
      <t>キドウ</t>
    </rPh>
    <rPh sb="2" eb="4">
      <t>ジョウショウ</t>
    </rPh>
    <phoneticPr fontId="2"/>
  </si>
  <si>
    <t>回避上昇</t>
    <rPh sb="0" eb="2">
      <t>カイヒ</t>
    </rPh>
    <rPh sb="2" eb="4">
      <t>ジョウショウ</t>
    </rPh>
    <phoneticPr fontId="2"/>
  </si>
  <si>
    <t>クリ率上昇</t>
    <rPh sb="2" eb="3">
      <t>リツ</t>
    </rPh>
    <rPh sb="3" eb="5">
      <t>ジョウショウ</t>
    </rPh>
    <phoneticPr fontId="2"/>
  </si>
  <si>
    <t>クリダメ上昇</t>
    <rPh sb="4" eb="6">
      <t>ジョウショウ</t>
    </rPh>
    <phoneticPr fontId="2"/>
  </si>
  <si>
    <t>ステータス低下</t>
    <phoneticPr fontId="2"/>
  </si>
  <si>
    <t>ビーム攻撃低下</t>
    <rPh sb="3" eb="5">
      <t>コウゲキ</t>
    </rPh>
    <phoneticPr fontId="2"/>
  </si>
  <si>
    <t>実弾攻撃低下</t>
    <rPh sb="0" eb="2">
      <t>ジツダン</t>
    </rPh>
    <rPh sb="2" eb="4">
      <t>コウゲキ</t>
    </rPh>
    <phoneticPr fontId="2"/>
  </si>
  <si>
    <t>ビーム防御低下</t>
    <rPh sb="3" eb="5">
      <t>ボウギョ</t>
    </rPh>
    <phoneticPr fontId="2"/>
  </si>
  <si>
    <t>実弾防御低下</t>
    <rPh sb="0" eb="2">
      <t>ジツダン</t>
    </rPh>
    <rPh sb="2" eb="4">
      <t>ボウギョ</t>
    </rPh>
    <phoneticPr fontId="2"/>
  </si>
  <si>
    <t>クリ率低下</t>
    <rPh sb="2" eb="3">
      <t>リツ</t>
    </rPh>
    <phoneticPr fontId="2"/>
  </si>
  <si>
    <t>クリダメ低下</t>
    <phoneticPr fontId="2"/>
  </si>
  <si>
    <t>命中低下</t>
    <rPh sb="0" eb="2">
      <t>メイチュウ</t>
    </rPh>
    <phoneticPr fontId="2"/>
  </si>
  <si>
    <t>回避低下</t>
    <rPh sb="0" eb="2">
      <t>カイヒ</t>
    </rPh>
    <phoneticPr fontId="2"/>
  </si>
  <si>
    <t>機動低下</t>
    <rPh sb="0" eb="2">
      <t>キドウ</t>
    </rPh>
    <phoneticPr fontId="2"/>
  </si>
  <si>
    <t>ビーム攻撃上昇解除</t>
    <rPh sb="3" eb="5">
      <t>コウゲキ</t>
    </rPh>
    <rPh sb="5" eb="7">
      <t>ジョウショウ</t>
    </rPh>
    <rPh sb="7" eb="9">
      <t>カイジョ</t>
    </rPh>
    <phoneticPr fontId="2"/>
  </si>
  <si>
    <t>実弾攻撃上昇解除</t>
    <rPh sb="0" eb="2">
      <t>ジツダン</t>
    </rPh>
    <rPh sb="2" eb="4">
      <t>コウゲキ</t>
    </rPh>
    <rPh sb="4" eb="6">
      <t>ジョウショウ</t>
    </rPh>
    <rPh sb="6" eb="8">
      <t>カイジョ</t>
    </rPh>
    <phoneticPr fontId="2"/>
  </si>
  <si>
    <t>ビーム防御上昇解除</t>
    <rPh sb="3" eb="5">
      <t>ボウギョ</t>
    </rPh>
    <rPh sb="5" eb="7">
      <t>ジョウショウ</t>
    </rPh>
    <rPh sb="7" eb="9">
      <t>カイジョ</t>
    </rPh>
    <phoneticPr fontId="2"/>
  </si>
  <si>
    <t>実弾防御上昇解除</t>
    <rPh sb="0" eb="2">
      <t>ジツダン</t>
    </rPh>
    <rPh sb="2" eb="4">
      <t>ボウギョ</t>
    </rPh>
    <rPh sb="4" eb="6">
      <t>ジョウショウ</t>
    </rPh>
    <rPh sb="6" eb="8">
      <t>カイジョ</t>
    </rPh>
    <phoneticPr fontId="2"/>
  </si>
  <si>
    <t>命中上昇解除</t>
    <rPh sb="0" eb="4">
      <t>メイチュウジョウショウ</t>
    </rPh>
    <rPh sb="4" eb="6">
      <t>カイジョ</t>
    </rPh>
    <phoneticPr fontId="2"/>
  </si>
  <si>
    <t>回避上昇解除</t>
    <rPh sb="0" eb="4">
      <t>カイヒジョウショウ</t>
    </rPh>
    <rPh sb="4" eb="6">
      <t>カイジョ</t>
    </rPh>
    <phoneticPr fontId="2"/>
  </si>
  <si>
    <t>クリダメ上昇解除</t>
    <rPh sb="4" eb="6">
      <t>ジョウショウ</t>
    </rPh>
    <rPh sb="6" eb="8">
      <t>カイジョ</t>
    </rPh>
    <phoneticPr fontId="2"/>
  </si>
  <si>
    <t>機動上昇解除</t>
    <rPh sb="0" eb="2">
      <t>キドウ</t>
    </rPh>
    <rPh sb="2" eb="4">
      <t>ジョウショウ</t>
    </rPh>
    <rPh sb="4" eb="6">
      <t>カイジョ</t>
    </rPh>
    <phoneticPr fontId="2"/>
  </si>
  <si>
    <t>クリティカル無効解除</t>
    <rPh sb="6" eb="8">
      <t>ムコウ</t>
    </rPh>
    <rPh sb="8" eb="10">
      <t>カイジョ</t>
    </rPh>
    <phoneticPr fontId="2"/>
  </si>
  <si>
    <t>ライトアーマー解除</t>
    <rPh sb="7" eb="9">
      <t>カイジョ</t>
    </rPh>
    <phoneticPr fontId="2"/>
  </si>
  <si>
    <t>ビームダメージ軽減・無効解除</t>
    <rPh sb="7" eb="9">
      <t>ケイゲン</t>
    </rPh>
    <rPh sb="10" eb="12">
      <t>ムコウ</t>
    </rPh>
    <rPh sb="12" eb="14">
      <t>カイジョ</t>
    </rPh>
    <phoneticPr fontId="2"/>
  </si>
  <si>
    <t>実弾ダメージ軽減・無効解除</t>
    <rPh sb="0" eb="2">
      <t>ジツダン</t>
    </rPh>
    <rPh sb="6" eb="8">
      <t>ケイゲン</t>
    </rPh>
    <rPh sb="9" eb="11">
      <t>ムコウ</t>
    </rPh>
    <rPh sb="11" eb="13">
      <t>カイジョ</t>
    </rPh>
    <phoneticPr fontId="2"/>
  </si>
  <si>
    <t>スタン耐性解除</t>
    <rPh sb="3" eb="5">
      <t>タイセイ</t>
    </rPh>
    <rPh sb="5" eb="7">
      <t>カイジョ</t>
    </rPh>
    <phoneticPr fontId="2"/>
  </si>
  <si>
    <t>EN不可耐性解除</t>
    <rPh sb="2" eb="4">
      <t>フカ</t>
    </rPh>
    <rPh sb="4" eb="6">
      <t>タイセイ</t>
    </rPh>
    <rPh sb="6" eb="8">
      <t>カイジョ</t>
    </rPh>
    <phoneticPr fontId="2"/>
  </si>
  <si>
    <t>能力低下無効解除</t>
    <rPh sb="0" eb="4">
      <t>ノウリョクテイカ</t>
    </rPh>
    <rPh sb="4" eb="6">
      <t>ムコウ</t>
    </rPh>
    <rPh sb="6" eb="8">
      <t>カイジョ</t>
    </rPh>
    <phoneticPr fontId="2"/>
  </si>
  <si>
    <t>近接不可耐性解除</t>
    <rPh sb="0" eb="2">
      <t>キンセツ</t>
    </rPh>
    <rPh sb="2" eb="4">
      <t>フカ</t>
    </rPh>
    <rPh sb="4" eb="6">
      <t>タイセイ</t>
    </rPh>
    <rPh sb="6" eb="8">
      <t>カイジョ</t>
    </rPh>
    <phoneticPr fontId="2"/>
  </si>
  <si>
    <t>遠距離不可耐性解除</t>
    <rPh sb="0" eb="5">
      <t>エンキョリフカ</t>
    </rPh>
    <rPh sb="5" eb="7">
      <t>タイセイ</t>
    </rPh>
    <rPh sb="7" eb="9">
      <t>カイジョ</t>
    </rPh>
    <phoneticPr fontId="2"/>
  </si>
  <si>
    <t>ビーム攻撃低下解除</t>
    <rPh sb="3" eb="5">
      <t>コウゲキ</t>
    </rPh>
    <rPh sb="5" eb="7">
      <t>テイカ</t>
    </rPh>
    <rPh sb="7" eb="9">
      <t>カイジョ</t>
    </rPh>
    <phoneticPr fontId="2"/>
  </si>
  <si>
    <t>実弾攻撃低下解除</t>
    <rPh sb="0" eb="2">
      <t>ジツダン</t>
    </rPh>
    <rPh sb="2" eb="4">
      <t>コウゲキ</t>
    </rPh>
    <rPh sb="4" eb="6">
      <t>テイカ</t>
    </rPh>
    <rPh sb="6" eb="8">
      <t>カイジョ</t>
    </rPh>
    <phoneticPr fontId="2"/>
  </si>
  <si>
    <t>ビーム防御低下解除</t>
    <rPh sb="3" eb="5">
      <t>ボウギョ</t>
    </rPh>
    <rPh sb="5" eb="7">
      <t>テイカ</t>
    </rPh>
    <rPh sb="7" eb="9">
      <t>カイジョ</t>
    </rPh>
    <phoneticPr fontId="2"/>
  </si>
  <si>
    <t>実弾防御低下解除</t>
    <rPh sb="0" eb="2">
      <t>ジツダン</t>
    </rPh>
    <rPh sb="2" eb="4">
      <t>ボウギョ</t>
    </rPh>
    <rPh sb="4" eb="6">
      <t>テイカ</t>
    </rPh>
    <rPh sb="6" eb="8">
      <t>カイジョ</t>
    </rPh>
    <phoneticPr fontId="2"/>
  </si>
  <si>
    <t>クリダメ低下解除</t>
    <rPh sb="6" eb="8">
      <t>カイジョ</t>
    </rPh>
    <phoneticPr fontId="2"/>
  </si>
  <si>
    <t>命中低下解除</t>
    <rPh sb="4" eb="6">
      <t>カイジョ</t>
    </rPh>
    <phoneticPr fontId="2"/>
  </si>
  <si>
    <t>回避低下解除</t>
    <rPh sb="4" eb="6">
      <t>カイジョ</t>
    </rPh>
    <phoneticPr fontId="2"/>
  </si>
  <si>
    <t>機動低下解除</t>
    <rPh sb="0" eb="2">
      <t>キドウ</t>
    </rPh>
    <rPh sb="4" eb="6">
      <t>カイジョ</t>
    </rPh>
    <phoneticPr fontId="2"/>
  </si>
  <si>
    <t>スリープ耐性解除</t>
    <rPh sb="4" eb="6">
      <t>タイセイ</t>
    </rPh>
    <rPh sb="6" eb="8">
      <t>カイジョ</t>
    </rPh>
    <phoneticPr fontId="2"/>
  </si>
  <si>
    <t>燃焼耐性解除</t>
    <rPh sb="0" eb="2">
      <t>ネンショウ</t>
    </rPh>
    <rPh sb="2" eb="4">
      <t>タイセイ</t>
    </rPh>
    <rPh sb="4" eb="6">
      <t>カイジョ</t>
    </rPh>
    <phoneticPr fontId="2"/>
  </si>
  <si>
    <t>ボム耐性解除</t>
    <rPh sb="2" eb="4">
      <t>タイセイ</t>
    </rPh>
    <rPh sb="4" eb="6">
      <t>カイジョ</t>
    </rPh>
    <phoneticPr fontId="2"/>
  </si>
  <si>
    <t>スキル不可耐性解除</t>
    <rPh sb="3" eb="5">
      <t>フカ</t>
    </rPh>
    <rPh sb="5" eb="7">
      <t>タイセイ</t>
    </rPh>
    <rPh sb="7" eb="9">
      <t>カイジョ</t>
    </rPh>
    <phoneticPr fontId="2"/>
  </si>
  <si>
    <t>ノイズ耐性解除</t>
    <rPh sb="3" eb="5">
      <t>タイセイ</t>
    </rPh>
    <rPh sb="5" eb="7">
      <t>カイジョ</t>
    </rPh>
    <phoneticPr fontId="2"/>
  </si>
  <si>
    <t>ENスリップ耐性解除</t>
    <rPh sb="6" eb="8">
      <t>タイセイ</t>
    </rPh>
    <rPh sb="8" eb="10">
      <t>カイジョ</t>
    </rPh>
    <phoneticPr fontId="2"/>
  </si>
  <si>
    <t>回復不可耐性解除</t>
    <rPh sb="0" eb="2">
      <t>カイフク</t>
    </rPh>
    <rPh sb="2" eb="4">
      <t>フカ</t>
    </rPh>
    <rPh sb="4" eb="6">
      <t>タイセイ</t>
    </rPh>
    <rPh sb="6" eb="8">
      <t>カイジョ</t>
    </rPh>
    <phoneticPr fontId="2"/>
  </si>
  <si>
    <t>移動不可耐性解除</t>
    <rPh sb="0" eb="2">
      <t>イドウ</t>
    </rPh>
    <rPh sb="2" eb="4">
      <t>フカ</t>
    </rPh>
    <rPh sb="4" eb="6">
      <t>タイセイ</t>
    </rPh>
    <rPh sb="6" eb="8">
      <t>カイジョ</t>
    </rPh>
    <phoneticPr fontId="2"/>
  </si>
  <si>
    <t>クリティカル確定解除</t>
    <rPh sb="6" eb="8">
      <t>カクテイ</t>
    </rPh>
    <rPh sb="8" eb="10">
      <t>カイジョ</t>
    </rPh>
    <phoneticPr fontId="2"/>
  </si>
  <si>
    <t>ビームダメージ上昇解除</t>
    <rPh sb="7" eb="9">
      <t>ジョウショウ</t>
    </rPh>
    <rPh sb="9" eb="11">
      <t>カイジョ</t>
    </rPh>
    <phoneticPr fontId="2"/>
  </si>
  <si>
    <t>実弾ダメージ上昇解除</t>
    <rPh sb="0" eb="2">
      <t>ジツダン</t>
    </rPh>
    <rPh sb="6" eb="10">
      <t>ジョウショウカイジョ</t>
    </rPh>
    <phoneticPr fontId="2"/>
  </si>
  <si>
    <t>身代わり解除</t>
    <rPh sb="0" eb="2">
      <t>ミガ</t>
    </rPh>
    <rPh sb="4" eb="6">
      <t>カイジョ</t>
    </rPh>
    <phoneticPr fontId="2"/>
  </si>
  <si>
    <t>ビームカウンター解除</t>
    <rPh sb="8" eb="10">
      <t>カイジョ</t>
    </rPh>
    <phoneticPr fontId="2"/>
  </si>
  <si>
    <t>実弾カウンター解除</t>
    <rPh sb="0" eb="2">
      <t>ジツダン</t>
    </rPh>
    <rPh sb="7" eb="9">
      <t>カイジョ</t>
    </rPh>
    <phoneticPr fontId="2"/>
  </si>
  <si>
    <t>ENダメージ無効解除</t>
    <rPh sb="6" eb="8">
      <t>ムコウ</t>
    </rPh>
    <rPh sb="8" eb="10">
      <t>カイジョ</t>
    </rPh>
    <phoneticPr fontId="2"/>
  </si>
  <si>
    <t>分身解除</t>
    <rPh sb="0" eb="2">
      <t>ブンシン</t>
    </rPh>
    <rPh sb="2" eb="4">
      <t>カイジョ</t>
    </rPh>
    <phoneticPr fontId="2"/>
  </si>
  <si>
    <t>パリィ解除</t>
    <rPh sb="3" eb="5">
      <t>カイジョ</t>
    </rPh>
    <phoneticPr fontId="2"/>
  </si>
  <si>
    <t>ビームダメージブロック解除</t>
    <rPh sb="11" eb="13">
      <t>カイジョ</t>
    </rPh>
    <phoneticPr fontId="2"/>
  </si>
  <si>
    <t>実弾ダメージブロック解除</t>
    <rPh sb="0" eb="2">
      <t>ジツダン</t>
    </rPh>
    <rPh sb="10" eb="12">
      <t>カイジョ</t>
    </rPh>
    <phoneticPr fontId="2"/>
  </si>
  <si>
    <t>鉄壁解除</t>
    <rPh sb="0" eb="2">
      <t>テッペキ</t>
    </rPh>
    <rPh sb="2" eb="4">
      <t>カイジョ</t>
    </rPh>
    <phoneticPr fontId="2"/>
  </si>
  <si>
    <t>能力上昇不可耐性解除</t>
    <rPh sb="0" eb="2">
      <t>ノウリョク</t>
    </rPh>
    <rPh sb="2" eb="4">
      <t>ジョウショウ</t>
    </rPh>
    <rPh sb="4" eb="6">
      <t>フカ</t>
    </rPh>
    <rPh sb="6" eb="8">
      <t>タイセイ</t>
    </rPh>
    <rPh sb="8" eb="10">
      <t>カイジョ</t>
    </rPh>
    <phoneticPr fontId="2"/>
  </si>
  <si>
    <t>EN回復上昇解除</t>
    <rPh sb="2" eb="4">
      <t>カイフク</t>
    </rPh>
    <rPh sb="4" eb="6">
      <t>ジョウショウ</t>
    </rPh>
    <rPh sb="6" eb="8">
      <t>カイジョ</t>
    </rPh>
    <phoneticPr fontId="2"/>
  </si>
  <si>
    <t>リスク耐性解除</t>
    <rPh sb="3" eb="5">
      <t>タイセイ</t>
    </rPh>
    <rPh sb="5" eb="7">
      <t>カイジョ</t>
    </rPh>
    <phoneticPr fontId="2"/>
  </si>
  <si>
    <t>状態異常無効解除</t>
    <rPh sb="0" eb="2">
      <t>ジョウタイ</t>
    </rPh>
    <rPh sb="2" eb="4">
      <t>イジョウ</t>
    </rPh>
    <rPh sb="4" eb="6">
      <t>ムコウ</t>
    </rPh>
    <rPh sb="6" eb="8">
      <t>カイジョ</t>
    </rPh>
    <phoneticPr fontId="2"/>
  </si>
  <si>
    <t>プロテクション解除</t>
    <rPh sb="7" eb="9">
      <t>カイジョ</t>
    </rPh>
    <phoneticPr fontId="2"/>
  </si>
  <si>
    <t>ビーム攻撃ブースト（チェイン）解除</t>
    <rPh sb="3" eb="5">
      <t>コウゲキ</t>
    </rPh>
    <rPh sb="15" eb="17">
      <t>カイジョ</t>
    </rPh>
    <phoneticPr fontId="2"/>
  </si>
  <si>
    <t>実弾攻撃ブースト（チェイン）解除</t>
    <rPh sb="0" eb="2">
      <t>ジツダン</t>
    </rPh>
    <rPh sb="2" eb="4">
      <t>コウゲキ</t>
    </rPh>
    <rPh sb="14" eb="16">
      <t>カイジョ</t>
    </rPh>
    <phoneticPr fontId="2"/>
  </si>
  <si>
    <t>ビーム防御ブースト（チェイン）解除</t>
    <rPh sb="3" eb="5">
      <t>ボウギョ</t>
    </rPh>
    <rPh sb="15" eb="17">
      <t>カイジョ</t>
    </rPh>
    <phoneticPr fontId="2"/>
  </si>
  <si>
    <t>実弾防御ブースト（チェイン）解除</t>
    <rPh sb="0" eb="2">
      <t>ジツダン</t>
    </rPh>
    <rPh sb="2" eb="4">
      <t>ボウギョ</t>
    </rPh>
    <rPh sb="14" eb="16">
      <t>カイジョ</t>
    </rPh>
    <phoneticPr fontId="2"/>
  </si>
  <si>
    <t>命中ブースト（チェイン）解除</t>
    <rPh sb="0" eb="2">
      <t>メイチュウ</t>
    </rPh>
    <rPh sb="12" eb="14">
      <t>カイジョ</t>
    </rPh>
    <phoneticPr fontId="2"/>
  </si>
  <si>
    <t>回避ブースト（チェイン）解除</t>
    <rPh sb="0" eb="2">
      <t>カイヒ</t>
    </rPh>
    <rPh sb="12" eb="14">
      <t>カイジョ</t>
    </rPh>
    <phoneticPr fontId="2"/>
  </si>
  <si>
    <t>ビーム攻撃カット（チェイン）解除</t>
    <rPh sb="3" eb="5">
      <t>コウゲキ</t>
    </rPh>
    <rPh sb="14" eb="16">
      <t>カイジョ</t>
    </rPh>
    <phoneticPr fontId="2"/>
  </si>
  <si>
    <t>実弾攻撃カット（チェイン）解除</t>
    <rPh sb="0" eb="2">
      <t>ジツダン</t>
    </rPh>
    <rPh sb="2" eb="4">
      <t>コウゲキ</t>
    </rPh>
    <rPh sb="13" eb="15">
      <t>カイジョ</t>
    </rPh>
    <phoneticPr fontId="2"/>
  </si>
  <si>
    <t>ビーム防御カット（チェイン）解除</t>
    <rPh sb="3" eb="5">
      <t>ボウギョ</t>
    </rPh>
    <rPh sb="14" eb="16">
      <t>カイジョ</t>
    </rPh>
    <phoneticPr fontId="2"/>
  </si>
  <si>
    <t>実弾防御カット（チェイン）解除</t>
  </si>
  <si>
    <t>実弾防御カット（チェイン）解除</t>
    <rPh sb="0" eb="2">
      <t>ジツダン</t>
    </rPh>
    <rPh sb="2" eb="4">
      <t>ボウギョ</t>
    </rPh>
    <rPh sb="13" eb="15">
      <t>カイジョ</t>
    </rPh>
    <phoneticPr fontId="2"/>
  </si>
  <si>
    <t>命中カット（チェイン）解除</t>
    <rPh sb="0" eb="2">
      <t>メイチュウ</t>
    </rPh>
    <rPh sb="11" eb="13">
      <t>カイジョ</t>
    </rPh>
    <phoneticPr fontId="2"/>
  </si>
  <si>
    <t>回避カット（チェイン）解除</t>
    <rPh sb="0" eb="2">
      <t>カイヒ</t>
    </rPh>
    <rPh sb="11" eb="13">
      <t>カイジョ</t>
    </rPh>
    <phoneticPr fontId="2"/>
  </si>
  <si>
    <t>クリダメカット（チェイン）解除</t>
    <rPh sb="13" eb="15">
      <t>カイジョ</t>
    </rPh>
    <phoneticPr fontId="2"/>
  </si>
  <si>
    <t>EN回復低下解除</t>
    <rPh sb="2" eb="4">
      <t>カイフク</t>
    </rPh>
    <rPh sb="4" eb="6">
      <t>テイカ</t>
    </rPh>
    <rPh sb="6" eb="8">
      <t>カイジョ</t>
    </rPh>
    <phoneticPr fontId="2"/>
  </si>
  <si>
    <t>クリダメブースト（チェイン）解除</t>
    <rPh sb="14" eb="16">
      <t>カイジョ</t>
    </rPh>
    <phoneticPr fontId="2"/>
  </si>
  <si>
    <t>回避カウンター解除</t>
    <rPh sb="0" eb="2">
      <t>カイヒ</t>
    </rPh>
    <rPh sb="7" eb="9">
      <t>カイジョ</t>
    </rPh>
    <phoneticPr fontId="2"/>
  </si>
  <si>
    <t>逆境（攻撃）解除</t>
    <rPh sb="0" eb="2">
      <t>ギャッキョウ</t>
    </rPh>
    <rPh sb="3" eb="5">
      <t>コウゲキ</t>
    </rPh>
    <rPh sb="6" eb="8">
      <t>カイジョ</t>
    </rPh>
    <phoneticPr fontId="2"/>
  </si>
  <si>
    <t>逆境（防御）解除</t>
    <rPh sb="0" eb="2">
      <t>ギャッキョウ</t>
    </rPh>
    <rPh sb="3" eb="5">
      <t>ボウギョ</t>
    </rPh>
    <rPh sb="6" eb="8">
      <t>カイジョ</t>
    </rPh>
    <phoneticPr fontId="2"/>
  </si>
  <si>
    <t>逆境（回復）解除</t>
    <rPh sb="0" eb="2">
      <t>ギャッキョウ</t>
    </rPh>
    <rPh sb="3" eb="5">
      <t>カイフク</t>
    </rPh>
    <rPh sb="6" eb="8">
      <t>カイジョ</t>
    </rPh>
    <phoneticPr fontId="2"/>
  </si>
  <si>
    <t>武装破壊（必中攻撃）耐性解除</t>
    <rPh sb="0" eb="4">
      <t>ブソウハカイ</t>
    </rPh>
    <rPh sb="5" eb="9">
      <t>ヒッチュウコウゲキ</t>
    </rPh>
    <rPh sb="10" eb="12">
      <t>タイセイ</t>
    </rPh>
    <rPh sb="12" eb="14">
      <t>カイジョ</t>
    </rPh>
    <phoneticPr fontId="2"/>
  </si>
  <si>
    <t>武装破壊（ダメージ軽減無効攻撃）耐性解除</t>
    <rPh sb="0" eb="4">
      <t>ブソウハカイ</t>
    </rPh>
    <rPh sb="9" eb="11">
      <t>ケイゲン</t>
    </rPh>
    <rPh sb="11" eb="13">
      <t>ムコウ</t>
    </rPh>
    <rPh sb="13" eb="15">
      <t>コウゲキ</t>
    </rPh>
    <rPh sb="16" eb="18">
      <t>タイセイ</t>
    </rPh>
    <rPh sb="18" eb="20">
      <t>カイジョ</t>
    </rPh>
    <phoneticPr fontId="2"/>
  </si>
  <si>
    <t>トラップ耐性解除</t>
    <rPh sb="4" eb="6">
      <t>タイセイ</t>
    </rPh>
    <rPh sb="6" eb="8">
      <t>カイジョ</t>
    </rPh>
    <phoneticPr fontId="2"/>
  </si>
  <si>
    <t>HP回復</t>
    <rPh sb="2" eb="4">
      <t>カイフク</t>
    </rPh>
    <phoneticPr fontId="2"/>
  </si>
  <si>
    <t>状態異常回復</t>
    <rPh sb="0" eb="2">
      <t>ジョウタイ</t>
    </rPh>
    <rPh sb="2" eb="4">
      <t>イジョウ</t>
    </rPh>
    <rPh sb="4" eb="6">
      <t>カイフク</t>
    </rPh>
    <phoneticPr fontId="2"/>
  </si>
  <si>
    <t>継続回復</t>
    <rPh sb="0" eb="2">
      <t>ケイゾク</t>
    </rPh>
    <rPh sb="2" eb="4">
      <t>カイフク</t>
    </rPh>
    <phoneticPr fontId="2"/>
  </si>
  <si>
    <t>ENゲージ回復</t>
    <rPh sb="5" eb="7">
      <t>カイフク</t>
    </rPh>
    <phoneticPr fontId="2"/>
  </si>
  <si>
    <t>ENチャージ</t>
  </si>
  <si>
    <t>ENチャージ</t>
    <phoneticPr fontId="2"/>
  </si>
  <si>
    <t>オーバーヒール</t>
    <phoneticPr fontId="2"/>
  </si>
  <si>
    <t>ENダメージ</t>
    <phoneticPr fontId="2"/>
  </si>
  <si>
    <t>身代わり</t>
    <rPh sb="0" eb="2">
      <t>ミガ</t>
    </rPh>
    <phoneticPr fontId="2"/>
  </si>
  <si>
    <t>パリィ</t>
    <phoneticPr fontId="2"/>
  </si>
  <si>
    <t>燃焼</t>
    <rPh sb="0" eb="2">
      <t>ネンショウ</t>
    </rPh>
    <phoneticPr fontId="2"/>
  </si>
  <si>
    <t>スタン</t>
    <phoneticPr fontId="2"/>
  </si>
  <si>
    <t>ボム</t>
    <phoneticPr fontId="2"/>
  </si>
  <si>
    <t>スリープ</t>
    <phoneticPr fontId="2"/>
  </si>
  <si>
    <t>移動不可</t>
    <rPh sb="0" eb="2">
      <t>イドウ</t>
    </rPh>
    <rPh sb="2" eb="4">
      <t>フカ</t>
    </rPh>
    <phoneticPr fontId="2"/>
  </si>
  <si>
    <t>近接不可</t>
    <rPh sb="0" eb="2">
      <t>キンセツ</t>
    </rPh>
    <rPh sb="2" eb="4">
      <t>フカ</t>
    </rPh>
    <phoneticPr fontId="2"/>
  </si>
  <si>
    <t>遠距離不可</t>
    <rPh sb="0" eb="5">
      <t>エンキョリフカ</t>
    </rPh>
    <phoneticPr fontId="2"/>
  </si>
  <si>
    <t>回復不可</t>
    <rPh sb="0" eb="2">
      <t>カイフク</t>
    </rPh>
    <rPh sb="2" eb="4">
      <t>フカ</t>
    </rPh>
    <phoneticPr fontId="2"/>
  </si>
  <si>
    <t>EN不可</t>
    <rPh sb="2" eb="4">
      <t>フカ</t>
    </rPh>
    <phoneticPr fontId="2"/>
  </si>
  <si>
    <t>ENスリップ</t>
    <phoneticPr fontId="2"/>
  </si>
  <si>
    <t>スキル不可</t>
    <rPh sb="3" eb="5">
      <t>フカ</t>
    </rPh>
    <phoneticPr fontId="2"/>
  </si>
  <si>
    <t>リスク</t>
    <phoneticPr fontId="2"/>
  </si>
  <si>
    <t>能力上昇不可</t>
    <rPh sb="0" eb="2">
      <t>ノウリョク</t>
    </rPh>
    <rPh sb="2" eb="4">
      <t>ジョウショウ</t>
    </rPh>
    <rPh sb="4" eb="6">
      <t>フカ</t>
    </rPh>
    <phoneticPr fontId="2"/>
  </si>
  <si>
    <t>ノイズ</t>
    <phoneticPr fontId="2"/>
  </si>
  <si>
    <t>武装破壊（必中攻撃）</t>
  </si>
  <si>
    <t>武装破壊（必中攻撃）</t>
    <rPh sb="0" eb="4">
      <t>ブソウハカイ</t>
    </rPh>
    <rPh sb="5" eb="9">
      <t>ヒッチュウコウゲキ</t>
    </rPh>
    <phoneticPr fontId="2"/>
  </si>
  <si>
    <t>武装破壊（直撃）</t>
  </si>
  <si>
    <t>武装破壊（直撃）</t>
    <rPh sb="0" eb="4">
      <t>ブソウハカイ</t>
    </rPh>
    <rPh sb="5" eb="7">
      <t>チョクゲキ</t>
    </rPh>
    <phoneticPr fontId="2"/>
  </si>
  <si>
    <t>武装破壊（ダメージ軽減無効攻撃）</t>
    <rPh sb="0" eb="4">
      <t>ブソウハカイ</t>
    </rPh>
    <rPh sb="9" eb="11">
      <t>ケイゲン</t>
    </rPh>
    <rPh sb="11" eb="13">
      <t>ムコウ</t>
    </rPh>
    <rPh sb="13" eb="15">
      <t>コウゲキ</t>
    </rPh>
    <phoneticPr fontId="2"/>
  </si>
  <si>
    <t>武装破壊（クリティカル攻撃）</t>
    <rPh sb="0" eb="4">
      <t>ブソウハカイ</t>
    </rPh>
    <rPh sb="11" eb="13">
      <t>コウゲキ</t>
    </rPh>
    <phoneticPr fontId="2"/>
  </si>
  <si>
    <t>武装破壊（チェイン攻撃）</t>
    <rPh sb="0" eb="4">
      <t>ブソウハカイ</t>
    </rPh>
    <rPh sb="9" eb="11">
      <t>コウゲキ</t>
    </rPh>
    <phoneticPr fontId="2"/>
  </si>
  <si>
    <t>武装破壊（防御無視攻撃）</t>
    <rPh sb="0" eb="4">
      <t>ブソウハカイ</t>
    </rPh>
    <rPh sb="5" eb="7">
      <t>ボウギョ</t>
    </rPh>
    <rPh sb="7" eb="9">
      <t>ムシ</t>
    </rPh>
    <rPh sb="9" eb="11">
      <t>コウゲキ</t>
    </rPh>
    <phoneticPr fontId="2"/>
  </si>
  <si>
    <t>EN増加不能</t>
  </si>
  <si>
    <t>EN増加不能</t>
    <rPh sb="2" eb="4">
      <t>ゾウカ</t>
    </rPh>
    <rPh sb="4" eb="6">
      <t>フノウ</t>
    </rPh>
    <phoneticPr fontId="2"/>
  </si>
  <si>
    <t>移動不可耐性</t>
    <rPh sb="0" eb="2">
      <t>イドウ</t>
    </rPh>
    <rPh sb="2" eb="4">
      <t>フカ</t>
    </rPh>
    <rPh sb="4" eb="6">
      <t>タイセイ</t>
    </rPh>
    <phoneticPr fontId="2"/>
  </si>
  <si>
    <t>スリープ耐性</t>
    <rPh sb="4" eb="6">
      <t>タイセイ</t>
    </rPh>
    <phoneticPr fontId="2"/>
  </si>
  <si>
    <t>スタン耐性</t>
    <rPh sb="3" eb="5">
      <t>タイセイ</t>
    </rPh>
    <phoneticPr fontId="2"/>
  </si>
  <si>
    <t>燃焼耐性</t>
    <rPh sb="0" eb="2">
      <t>ネンショウ</t>
    </rPh>
    <rPh sb="2" eb="4">
      <t>タイセイ</t>
    </rPh>
    <phoneticPr fontId="2"/>
  </si>
  <si>
    <t>スキル不可耐性</t>
    <rPh sb="3" eb="5">
      <t>フカ</t>
    </rPh>
    <rPh sb="5" eb="7">
      <t>タイセイ</t>
    </rPh>
    <phoneticPr fontId="2"/>
  </si>
  <si>
    <t>回復不可耐性</t>
    <rPh sb="0" eb="2">
      <t>カイフク</t>
    </rPh>
    <rPh sb="2" eb="4">
      <t>フカ</t>
    </rPh>
    <rPh sb="4" eb="6">
      <t>タイセイ</t>
    </rPh>
    <phoneticPr fontId="2"/>
  </si>
  <si>
    <t>ENスリップ耐性</t>
    <rPh sb="6" eb="8">
      <t>タイセイ</t>
    </rPh>
    <phoneticPr fontId="2"/>
  </si>
  <si>
    <t>近接不可耐性</t>
    <rPh sb="0" eb="2">
      <t>キンセツ</t>
    </rPh>
    <rPh sb="2" eb="4">
      <t>フカ</t>
    </rPh>
    <rPh sb="4" eb="6">
      <t>タイセイ</t>
    </rPh>
    <phoneticPr fontId="2"/>
  </si>
  <si>
    <t>遠距離不可耐性</t>
    <rPh sb="0" eb="5">
      <t>エンキョリフカ</t>
    </rPh>
    <phoneticPr fontId="2"/>
  </si>
  <si>
    <t>ボム耐性</t>
    <phoneticPr fontId="2"/>
  </si>
  <si>
    <t>EN不可耐性</t>
    <rPh sb="2" eb="4">
      <t>フカ</t>
    </rPh>
    <phoneticPr fontId="2"/>
  </si>
  <si>
    <t>能力上昇不可耐性</t>
    <rPh sb="0" eb="4">
      <t>ノウリョクジョウショウ</t>
    </rPh>
    <rPh sb="4" eb="6">
      <t>フカ</t>
    </rPh>
    <phoneticPr fontId="2"/>
  </si>
  <si>
    <t>ノイズ耐性</t>
    <phoneticPr fontId="2"/>
  </si>
  <si>
    <t>リスク耐性</t>
    <phoneticPr fontId="2"/>
  </si>
  <si>
    <t>武装破壊（直撃）耐性</t>
    <rPh sb="0" eb="4">
      <t>ブソウハカイ</t>
    </rPh>
    <rPh sb="5" eb="7">
      <t>チョクゲキ</t>
    </rPh>
    <phoneticPr fontId="2"/>
  </si>
  <si>
    <t>武装破壊（ダメージ軽減無効攻撃）耐性</t>
    <rPh sb="0" eb="4">
      <t>ブソウハカイ</t>
    </rPh>
    <rPh sb="9" eb="11">
      <t>ケイゲン</t>
    </rPh>
    <rPh sb="11" eb="13">
      <t>ムコウ</t>
    </rPh>
    <rPh sb="13" eb="15">
      <t>コウゲキ</t>
    </rPh>
    <phoneticPr fontId="2"/>
  </si>
  <si>
    <t>武装破壊（必中攻撃）耐性</t>
    <rPh sb="0" eb="4">
      <t>ブソウハカイ</t>
    </rPh>
    <rPh sb="5" eb="7">
      <t>ヒッチュウ</t>
    </rPh>
    <rPh sb="7" eb="9">
      <t>コウゲキ</t>
    </rPh>
    <phoneticPr fontId="2"/>
  </si>
  <si>
    <t>EN増加不能耐性</t>
    <rPh sb="2" eb="4">
      <t>ゾウカ</t>
    </rPh>
    <rPh sb="4" eb="6">
      <t>フノウ</t>
    </rPh>
    <rPh sb="6" eb="8">
      <t>タイセイ</t>
    </rPh>
    <phoneticPr fontId="2"/>
  </si>
  <si>
    <t>武装破壊（チェイン攻撃）耐性</t>
    <rPh sb="0" eb="4">
      <t>ブソウハカイ</t>
    </rPh>
    <rPh sb="9" eb="11">
      <t>コウゲキ</t>
    </rPh>
    <phoneticPr fontId="2"/>
  </si>
  <si>
    <t>武装破壊（クリティカル攻撃）耐性</t>
    <rPh sb="0" eb="4">
      <t>ブソウハカイ</t>
    </rPh>
    <rPh sb="11" eb="13">
      <t>コウゲキ</t>
    </rPh>
    <phoneticPr fontId="2"/>
  </si>
  <si>
    <t>トラップ耐性</t>
    <rPh sb="4" eb="6">
      <t>タイセイ</t>
    </rPh>
    <phoneticPr fontId="2"/>
  </si>
  <si>
    <t>状態異常無効</t>
    <rPh sb="0" eb="2">
      <t>ジョウタイ</t>
    </rPh>
    <rPh sb="2" eb="4">
      <t>イジョウ</t>
    </rPh>
    <rPh sb="4" eb="6">
      <t>ムコウ</t>
    </rPh>
    <phoneticPr fontId="2"/>
  </si>
  <si>
    <t>武装破壊（防御無視攻撃）耐性</t>
    <rPh sb="0" eb="4">
      <t>ブソウハカイ</t>
    </rPh>
    <rPh sb="5" eb="9">
      <t>ボウギョムシ</t>
    </rPh>
    <rPh sb="9" eb="11">
      <t>コウゲキ</t>
    </rPh>
    <phoneticPr fontId="2"/>
  </si>
  <si>
    <t>Skill</t>
    <phoneticPr fontId="2"/>
  </si>
  <si>
    <t>ビーム・実弾攻撃上昇</t>
    <rPh sb="6" eb="8">
      <t>コウゲキ</t>
    </rPh>
    <rPh sb="8" eb="10">
      <t>ジョウショウ</t>
    </rPh>
    <phoneticPr fontId="2"/>
  </si>
  <si>
    <t>ビーム・実弾防御上昇</t>
    <rPh sb="6" eb="8">
      <t>ボウギョ</t>
    </rPh>
    <rPh sb="8" eb="10">
      <t>ジョウショウ</t>
    </rPh>
    <phoneticPr fontId="2"/>
  </si>
  <si>
    <t>ビーム・実弾攻撃低下</t>
    <rPh sb="6" eb="8">
      <t>コウゲキ</t>
    </rPh>
    <phoneticPr fontId="2"/>
  </si>
  <si>
    <t>ビーム・実弾防御低下</t>
    <rPh sb="6" eb="8">
      <t>ボウギョ</t>
    </rPh>
    <phoneticPr fontId="2"/>
  </si>
  <si>
    <t>【自身】Ⅰ</t>
  </si>
  <si>
    <t>【全体】Ⅰ</t>
  </si>
  <si>
    <t>【自身】Ⅱ</t>
  </si>
  <si>
    <t>【全体】Ⅱ</t>
  </si>
  <si>
    <t>【自身】Ⅲ</t>
  </si>
  <si>
    <t>【戦艦】Ⅰ</t>
  </si>
  <si>
    <t>戦艦防御上昇</t>
    <rPh sb="0" eb="2">
      <t>センカン</t>
    </rPh>
    <rPh sb="2" eb="4">
      <t>ボウギョ</t>
    </rPh>
    <rPh sb="4" eb="6">
      <t>ジョウショウ</t>
    </rPh>
    <phoneticPr fontId="2"/>
  </si>
  <si>
    <t>回復不可解除</t>
    <rPh sb="0" eb="2">
      <t>カイフク</t>
    </rPh>
    <rPh sb="2" eb="4">
      <t>フカ</t>
    </rPh>
    <phoneticPr fontId="2"/>
  </si>
  <si>
    <t>武装破壊（必中攻撃）解除</t>
    <rPh sb="0" eb="4">
      <t>ブソウハカイ</t>
    </rPh>
    <rPh sb="5" eb="9">
      <t>ヒッチュウコウゲキ</t>
    </rPh>
    <phoneticPr fontId="2"/>
  </si>
  <si>
    <t>EN増加不能解除</t>
    <rPh sb="2" eb="4">
      <t>ゾウカ</t>
    </rPh>
    <rPh sb="4" eb="6">
      <t>フノウ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</si>
</sst>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Meiryo UI"/>
      <family val="2"/>
      <charset val="128"/>
    </font>
    <font>
      <sz val="11"/>
      <color indexed="8"/>
      <name val="ＭＳ Ｐゴシック"/>
      <family val="3"/>
      <charset val="128"/>
    </font>
    <font>
      <sz val="6"/>
      <name val="Meiryo UI"/>
      <family val="2"/>
      <charset val="128"/>
    </font>
    <font>
      <b/>
      <sz val="11"/>
      <color rgb="FF000000"/>
      <name val="ＭＳ Ｐゴシック"/>
      <family val="3"/>
      <charset val="128"/>
    </font>
    <font>
      <b/>
      <sz val="11"/>
      <color rgb="FF000000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1">
      <alignment vertical="center"/>
    </xf>
    <xf numFmtId="1" fontId="1" fillId="0" borderId="1" xfId="1" applyNumberFormat="1" applyBorder="1">
      <alignment vertical="center"/>
    </xf>
    <xf numFmtId="0" fontId="1" fillId="0" borderId="1" xfId="1" applyBorder="1">
      <alignment vertical="center"/>
    </xf>
    <xf numFmtId="0" fontId="3" fillId="2" borderId="1" xfId="1" applyFont="1" applyFill="1" applyBorder="1">
      <alignment vertical="center"/>
    </xf>
    <xf numFmtId="49" fontId="4" fillId="2" borderId="2" xfId="0" applyNumberFormat="1" applyFont="1" applyFill="1" applyBorder="1" applyAlignment="1">
      <alignment horizontal="left" vertical="center" wrapText="1"/>
    </xf>
    <xf numFmtId="1" fontId="0" fillId="0" borderId="2" xfId="0" applyNumberFormat="1" applyBorder="1" applyAlignment="1">
      <alignment horizontal="right" vertical="center"/>
    </xf>
    <xf numFmtId="49" fontId="0" fillId="0" borderId="2" xfId="0" applyNumberFormat="1" applyBorder="1">
      <alignment vertical="center"/>
    </xf>
    <xf numFmtId="0" fontId="0" fillId="0" borderId="0" xfId="0" applyNumberFormat="1">
      <alignment vertical="center"/>
    </xf>
    <xf numFmtId="0" fontId="4" fillId="2" borderId="2" xfId="0" applyNumberFormat="1" applyFont="1" applyFill="1" applyBorder="1" applyAlignment="1">
      <alignment horizontal="left" vertical="center" wrapText="1"/>
    </xf>
    <xf numFmtId="0" fontId="0" fillId="0" borderId="0" xfId="0" applyFill="1">
      <alignment vertical="center"/>
    </xf>
    <xf numFmtId="0" fontId="0" fillId="0" borderId="2" xfId="0" applyBorder="1">
      <alignment vertical="center"/>
    </xf>
    <xf numFmtId="0" fontId="0" fillId="0" borderId="2" xfId="0" applyNumberFormat="1" applyBorder="1">
      <alignment vertical="center"/>
    </xf>
    <xf numFmtId="0" fontId="0" fillId="0" borderId="2" xfId="0" applyFill="1" applyBorder="1">
      <alignment vertical="center"/>
    </xf>
    <xf numFmtId="0" fontId="0" fillId="0" borderId="3" xfId="0" applyBorder="1">
      <alignment vertical="center"/>
    </xf>
    <xf numFmtId="49" fontId="0" fillId="0" borderId="3" xfId="0" applyNumberFormat="1" applyBorder="1">
      <alignment vertical="center"/>
    </xf>
    <xf numFmtId="0" fontId="0" fillId="0" borderId="3" xfId="0" applyNumberFormat="1" applyBorder="1">
      <alignment vertical="center"/>
    </xf>
    <xf numFmtId="0" fontId="0" fillId="0" borderId="3" xfId="0" applyFill="1" applyBorder="1">
      <alignment vertical="center"/>
    </xf>
    <xf numFmtId="49" fontId="0" fillId="0" borderId="4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1" xfId="0" applyFill="1" applyBorder="1">
      <alignment vertical="center"/>
    </xf>
    <xf numFmtId="0" fontId="0" fillId="0" borderId="1" xfId="0" applyNumberFormat="1" applyFill="1" applyBorder="1">
      <alignment vertical="center"/>
    </xf>
    <xf numFmtId="49" fontId="0" fillId="0" borderId="1" xfId="0" applyNumberFormat="1" applyFill="1" applyBorder="1">
      <alignment vertical="center"/>
    </xf>
    <xf numFmtId="0" fontId="1" fillId="3" borderId="0" xfId="1" applyFill="1">
      <alignment vertical="center"/>
    </xf>
  </cellXfs>
  <cellStyles count="2">
    <cellStyle name="標準" xfId="0" builtinId="0"/>
    <cellStyle name="標準 2" xfId="1" xr:uid="{D9ACC9EC-647F-4869-A5FC-B9505BEE66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9EBB4-B01C-41BA-AA27-BABB254FB642}">
  <dimension ref="A2:I223"/>
  <sheetViews>
    <sheetView topLeftCell="A192" workbookViewId="0">
      <selection activeCell="A3" sqref="A3:D223"/>
    </sheetView>
  </sheetViews>
  <sheetFormatPr defaultRowHeight="15.75" x14ac:dyDescent="0.25"/>
  <cols>
    <col min="1" max="1" width="4.5546875" bestFit="1" customWidth="1"/>
    <col min="2" max="2" width="4.5546875" style="8" bestFit="1" customWidth="1"/>
    <col min="3" max="3" width="35.44140625" bestFit="1" customWidth="1"/>
    <col min="4" max="4" width="6.5546875" bestFit="1" customWidth="1"/>
    <col min="5" max="5" width="4.5546875" bestFit="1" customWidth="1"/>
    <col min="7" max="7" width="11.109375" bestFit="1" customWidth="1"/>
    <col min="8" max="8" width="11.109375" style="8" bestFit="1" customWidth="1"/>
  </cols>
  <sheetData>
    <row r="2" spans="1:9" x14ac:dyDescent="0.25">
      <c r="A2" s="5" t="s">
        <v>11</v>
      </c>
      <c r="B2" s="9"/>
      <c r="C2" s="5" t="s">
        <v>9</v>
      </c>
      <c r="D2" s="5" t="s">
        <v>7</v>
      </c>
      <c r="E2" s="5" t="s">
        <v>11</v>
      </c>
      <c r="G2" s="5" t="s">
        <v>10</v>
      </c>
      <c r="H2" s="9"/>
    </row>
    <row r="3" spans="1:9" x14ac:dyDescent="0.25">
      <c r="A3" s="11">
        <v>1</v>
      </c>
      <c r="B3" s="12">
        <f>VLOOKUP(I3,Sheet3!C:D,2,FALSE)</f>
        <v>5</v>
      </c>
      <c r="C3" s="13" t="s">
        <v>111</v>
      </c>
      <c r="D3" s="11">
        <v>501</v>
      </c>
      <c r="E3" s="11">
        <f>A3</f>
        <v>1</v>
      </c>
      <c r="G3" s="7" t="s">
        <v>12</v>
      </c>
      <c r="H3" s="12"/>
      <c r="I3" t="str">
        <f>G3&amp;"（"&amp;H3&amp;"）"</f>
        <v>特殊攻撃（）</v>
      </c>
    </row>
    <row r="4" spans="1:9" x14ac:dyDescent="0.25">
      <c r="A4" s="11">
        <v>2</v>
      </c>
      <c r="B4" s="12">
        <f>VLOOKUP(I4,Sheet3!C:D,2,FALSE)</f>
        <v>5</v>
      </c>
      <c r="C4" s="13" t="s">
        <v>112</v>
      </c>
      <c r="D4" s="11">
        <v>502</v>
      </c>
      <c r="E4" s="11">
        <f t="shared" ref="E4:E67" si="0">A4</f>
        <v>2</v>
      </c>
      <c r="G4" s="7" t="s">
        <v>12</v>
      </c>
      <c r="H4" s="12"/>
      <c r="I4" t="str">
        <f t="shared" ref="I4:I67" si="1">G4&amp;"（"&amp;H4&amp;"）"</f>
        <v>特殊攻撃（）</v>
      </c>
    </row>
    <row r="5" spans="1:9" x14ac:dyDescent="0.25">
      <c r="A5" s="11">
        <v>3</v>
      </c>
      <c r="B5" s="12">
        <f>VLOOKUP(I5,Sheet3!C:D,2,FALSE)</f>
        <v>5</v>
      </c>
      <c r="C5" s="13" t="s">
        <v>113</v>
      </c>
      <c r="D5" s="11">
        <v>503</v>
      </c>
      <c r="E5" s="11">
        <f t="shared" si="0"/>
        <v>3</v>
      </c>
      <c r="G5" s="7" t="s">
        <v>12</v>
      </c>
      <c r="H5" s="12"/>
      <c r="I5" t="str">
        <f t="shared" si="1"/>
        <v>特殊攻撃（）</v>
      </c>
    </row>
    <row r="6" spans="1:9" x14ac:dyDescent="0.25">
      <c r="A6" s="11">
        <v>4</v>
      </c>
      <c r="B6" s="12">
        <f>VLOOKUP(I6,Sheet3!C:D,2,FALSE)</f>
        <v>5</v>
      </c>
      <c r="C6" s="13" t="s">
        <v>114</v>
      </c>
      <c r="D6" s="11">
        <v>504</v>
      </c>
      <c r="E6" s="11">
        <f t="shared" si="0"/>
        <v>4</v>
      </c>
      <c r="G6" s="7" t="s">
        <v>12</v>
      </c>
      <c r="H6" s="12"/>
      <c r="I6" t="str">
        <f t="shared" si="1"/>
        <v>特殊攻撃（）</v>
      </c>
    </row>
    <row r="7" spans="1:9" x14ac:dyDescent="0.25">
      <c r="A7" s="11">
        <v>5</v>
      </c>
      <c r="B7" s="12">
        <f>VLOOKUP(I7,Sheet3!C:D,2,FALSE)</f>
        <v>5</v>
      </c>
      <c r="C7" s="13" t="s">
        <v>115</v>
      </c>
      <c r="D7" s="11">
        <v>505</v>
      </c>
      <c r="E7" s="11">
        <f t="shared" si="0"/>
        <v>5</v>
      </c>
      <c r="G7" s="7" t="s">
        <v>12</v>
      </c>
      <c r="H7" s="12"/>
      <c r="I7" t="str">
        <f t="shared" si="1"/>
        <v>特殊攻撃（）</v>
      </c>
    </row>
    <row r="8" spans="1:9" x14ac:dyDescent="0.25">
      <c r="A8" s="11">
        <v>6</v>
      </c>
      <c r="B8" s="12">
        <f>VLOOKUP(I8,Sheet3!C:D,2,FALSE)</f>
        <v>5</v>
      </c>
      <c r="C8" s="13" t="s">
        <v>116</v>
      </c>
      <c r="D8" s="11">
        <v>506</v>
      </c>
      <c r="E8" s="11">
        <f t="shared" si="0"/>
        <v>6</v>
      </c>
      <c r="G8" s="7" t="s">
        <v>12</v>
      </c>
      <c r="H8" s="12"/>
      <c r="I8" t="str">
        <f t="shared" si="1"/>
        <v>特殊攻撃（）</v>
      </c>
    </row>
    <row r="9" spans="1:9" x14ac:dyDescent="0.25">
      <c r="A9" s="11">
        <v>7</v>
      </c>
      <c r="B9" s="12">
        <f>VLOOKUP(I9,Sheet3!C:D,2,FALSE)</f>
        <v>5</v>
      </c>
      <c r="C9" s="13" t="s">
        <v>117</v>
      </c>
      <c r="D9" s="11">
        <v>507</v>
      </c>
      <c r="E9" s="11">
        <f t="shared" si="0"/>
        <v>7</v>
      </c>
      <c r="G9" s="7" t="s">
        <v>12</v>
      </c>
      <c r="H9" s="12"/>
      <c r="I9" t="str">
        <f t="shared" si="1"/>
        <v>特殊攻撃（）</v>
      </c>
    </row>
    <row r="10" spans="1:9" x14ac:dyDescent="0.25">
      <c r="A10" s="11">
        <v>8</v>
      </c>
      <c r="B10" s="12">
        <f>VLOOKUP(I10,Sheet3!C:D,2,FALSE)</f>
        <v>5</v>
      </c>
      <c r="C10" s="13" t="s">
        <v>118</v>
      </c>
      <c r="D10" s="11">
        <v>508</v>
      </c>
      <c r="E10" s="11">
        <f t="shared" si="0"/>
        <v>8</v>
      </c>
      <c r="G10" s="7" t="s">
        <v>12</v>
      </c>
      <c r="H10" s="12"/>
      <c r="I10" t="str">
        <f t="shared" si="1"/>
        <v>特殊攻撃（）</v>
      </c>
    </row>
    <row r="11" spans="1:9" x14ac:dyDescent="0.25">
      <c r="A11" s="11">
        <v>9</v>
      </c>
      <c r="B11" s="12">
        <f>VLOOKUP(I11,Sheet3!C:D,2,FALSE)</f>
        <v>5</v>
      </c>
      <c r="C11" s="13" t="s">
        <v>287</v>
      </c>
      <c r="D11" s="11">
        <v>509</v>
      </c>
      <c r="E11" s="11">
        <f t="shared" si="0"/>
        <v>9</v>
      </c>
      <c r="G11" s="7" t="s">
        <v>12</v>
      </c>
      <c r="H11" s="12"/>
      <c r="I11" t="str">
        <f t="shared" si="1"/>
        <v>特殊攻撃（）</v>
      </c>
    </row>
    <row r="12" spans="1:9" x14ac:dyDescent="0.25">
      <c r="A12" s="11">
        <v>10</v>
      </c>
      <c r="B12" s="12">
        <f>VLOOKUP(I12,Sheet3!C:D,2,FALSE)</f>
        <v>5</v>
      </c>
      <c r="C12" s="13" t="s">
        <v>119</v>
      </c>
      <c r="D12" s="11">
        <v>510</v>
      </c>
      <c r="E12" s="11">
        <f t="shared" si="0"/>
        <v>10</v>
      </c>
      <c r="G12" s="7" t="s">
        <v>12</v>
      </c>
      <c r="H12" s="12"/>
      <c r="I12" t="str">
        <f t="shared" si="1"/>
        <v>特殊攻撃（）</v>
      </c>
    </row>
    <row r="13" spans="1:9" x14ac:dyDescent="0.25">
      <c r="A13" s="11">
        <v>11</v>
      </c>
      <c r="B13" s="12">
        <f>VLOOKUP(I13,Sheet3!C:D,2,FALSE)</f>
        <v>5</v>
      </c>
      <c r="C13" s="13" t="s">
        <v>120</v>
      </c>
      <c r="D13" s="11">
        <v>511</v>
      </c>
      <c r="E13" s="11">
        <f t="shared" si="0"/>
        <v>11</v>
      </c>
      <c r="G13" s="7" t="s">
        <v>12</v>
      </c>
      <c r="H13" s="12"/>
      <c r="I13" t="str">
        <f t="shared" si="1"/>
        <v>特殊攻撃（）</v>
      </c>
    </row>
    <row r="14" spans="1:9" x14ac:dyDescent="0.25">
      <c r="A14" s="11">
        <v>12</v>
      </c>
      <c r="B14" s="12">
        <f>VLOOKUP(I14,Sheet3!C:D,2,FALSE)</f>
        <v>5</v>
      </c>
      <c r="C14" s="13" t="s">
        <v>121</v>
      </c>
      <c r="D14" s="11">
        <v>512</v>
      </c>
      <c r="E14" s="11">
        <f t="shared" si="0"/>
        <v>12</v>
      </c>
      <c r="G14" s="7" t="s">
        <v>12</v>
      </c>
      <c r="H14" s="12"/>
      <c r="I14" t="str">
        <f t="shared" si="1"/>
        <v>特殊攻撃（）</v>
      </c>
    </row>
    <row r="15" spans="1:9" x14ac:dyDescent="0.25">
      <c r="A15" s="11">
        <v>13</v>
      </c>
      <c r="B15" s="12">
        <f>VLOOKUP(I15,Sheet3!C:D,2,FALSE)</f>
        <v>5</v>
      </c>
      <c r="C15" s="13" t="s">
        <v>122</v>
      </c>
      <c r="D15" s="11">
        <v>513</v>
      </c>
      <c r="E15" s="11">
        <f t="shared" si="0"/>
        <v>13</v>
      </c>
      <c r="G15" s="7" t="s">
        <v>12</v>
      </c>
      <c r="H15" s="12"/>
      <c r="I15" t="str">
        <f t="shared" si="1"/>
        <v>特殊攻撃（）</v>
      </c>
    </row>
    <row r="16" spans="1:9" x14ac:dyDescent="0.25">
      <c r="A16" s="11">
        <v>14</v>
      </c>
      <c r="B16" s="12">
        <f>VLOOKUP(I16,Sheet3!C:D,2,FALSE)</f>
        <v>5</v>
      </c>
      <c r="C16" s="13" t="s">
        <v>123</v>
      </c>
      <c r="D16" s="11">
        <v>514</v>
      </c>
      <c r="E16" s="11">
        <f t="shared" si="0"/>
        <v>14</v>
      </c>
      <c r="G16" s="7" t="s">
        <v>12</v>
      </c>
      <c r="H16" s="12"/>
      <c r="I16" t="str">
        <f t="shared" si="1"/>
        <v>特殊攻撃（）</v>
      </c>
    </row>
    <row r="17" spans="1:9" x14ac:dyDescent="0.25">
      <c r="A17" s="11">
        <v>15</v>
      </c>
      <c r="B17" s="12">
        <f>VLOOKUP(I17,Sheet3!C:D,2,FALSE)</f>
        <v>5</v>
      </c>
      <c r="C17" s="13" t="s">
        <v>124</v>
      </c>
      <c r="D17" s="11">
        <v>515</v>
      </c>
      <c r="E17" s="11">
        <f t="shared" si="0"/>
        <v>15</v>
      </c>
      <c r="G17" s="7" t="s">
        <v>12</v>
      </c>
      <c r="H17" s="12"/>
      <c r="I17" t="str">
        <f t="shared" si="1"/>
        <v>特殊攻撃（）</v>
      </c>
    </row>
    <row r="18" spans="1:9" x14ac:dyDescent="0.25">
      <c r="A18" s="11">
        <v>16</v>
      </c>
      <c r="B18" s="12">
        <f>VLOOKUP(I18,Sheet3!C:D,2,FALSE)</f>
        <v>5</v>
      </c>
      <c r="C18" s="13" t="s">
        <v>125</v>
      </c>
      <c r="D18" s="11">
        <v>516</v>
      </c>
      <c r="E18" s="11">
        <f t="shared" si="0"/>
        <v>16</v>
      </c>
      <c r="G18" s="7" t="s">
        <v>12</v>
      </c>
      <c r="H18" s="12"/>
      <c r="I18" t="str">
        <f t="shared" si="1"/>
        <v>特殊攻撃（）</v>
      </c>
    </row>
    <row r="19" spans="1:9" x14ac:dyDescent="0.25">
      <c r="A19" s="11">
        <v>17</v>
      </c>
      <c r="B19" s="12">
        <f>VLOOKUP(I19,Sheet3!C:D,2,FALSE)</f>
        <v>5</v>
      </c>
      <c r="C19" s="13" t="s">
        <v>126</v>
      </c>
      <c r="D19" s="11">
        <v>517</v>
      </c>
      <c r="E19" s="11">
        <f t="shared" si="0"/>
        <v>17</v>
      </c>
      <c r="G19" s="7" t="s">
        <v>12</v>
      </c>
      <c r="H19" s="12"/>
      <c r="I19" t="str">
        <f t="shared" si="1"/>
        <v>特殊攻撃（）</v>
      </c>
    </row>
    <row r="20" spans="1:9" x14ac:dyDescent="0.25">
      <c r="A20" s="11">
        <v>18</v>
      </c>
      <c r="B20" s="12">
        <f>VLOOKUP(I20,Sheet3!C:D,2,FALSE)</f>
        <v>5</v>
      </c>
      <c r="C20" s="13" t="s">
        <v>127</v>
      </c>
      <c r="D20" s="11">
        <v>518</v>
      </c>
      <c r="E20" s="11">
        <f t="shared" si="0"/>
        <v>18</v>
      </c>
      <c r="G20" s="7" t="s">
        <v>12</v>
      </c>
      <c r="H20" s="12"/>
      <c r="I20" t="str">
        <f t="shared" si="1"/>
        <v>特殊攻撃（）</v>
      </c>
    </row>
    <row r="21" spans="1:9" x14ac:dyDescent="0.25">
      <c r="A21" s="11">
        <v>19</v>
      </c>
      <c r="B21" s="12">
        <f>VLOOKUP(I21,Sheet3!C:D,2,FALSE)</f>
        <v>5</v>
      </c>
      <c r="C21" s="13" t="s">
        <v>128</v>
      </c>
      <c r="D21" s="11">
        <v>519</v>
      </c>
      <c r="E21" s="11">
        <f t="shared" si="0"/>
        <v>19</v>
      </c>
      <c r="G21" s="7" t="s">
        <v>12</v>
      </c>
      <c r="H21" s="12"/>
      <c r="I21" t="str">
        <f t="shared" si="1"/>
        <v>特殊攻撃（）</v>
      </c>
    </row>
    <row r="22" spans="1:9" x14ac:dyDescent="0.25">
      <c r="A22" s="11">
        <v>20</v>
      </c>
      <c r="B22" s="12">
        <f>VLOOKUP(I22,Sheet3!C:D,2,FALSE)</f>
        <v>5</v>
      </c>
      <c r="C22" s="17" t="s">
        <v>129</v>
      </c>
      <c r="D22" s="14">
        <v>520</v>
      </c>
      <c r="E22" s="11">
        <f t="shared" si="0"/>
        <v>20</v>
      </c>
      <c r="G22" s="15" t="s">
        <v>12</v>
      </c>
      <c r="H22" s="16"/>
      <c r="I22" t="str">
        <f t="shared" si="1"/>
        <v>特殊攻撃（）</v>
      </c>
    </row>
    <row r="23" spans="1:9" x14ac:dyDescent="0.25">
      <c r="A23" s="11">
        <v>21</v>
      </c>
      <c r="B23" s="12">
        <f>VLOOKUP(I23,Sheet3!C:D,2,FALSE)</f>
        <v>5</v>
      </c>
      <c r="C23" s="20" t="s">
        <v>130</v>
      </c>
      <c r="D23" s="21">
        <v>521</v>
      </c>
      <c r="E23" s="11">
        <f t="shared" si="0"/>
        <v>21</v>
      </c>
      <c r="G23" s="18" t="s">
        <v>12</v>
      </c>
      <c r="H23" s="19"/>
      <c r="I23" t="str">
        <f t="shared" si="1"/>
        <v>特殊攻撃（）</v>
      </c>
    </row>
    <row r="24" spans="1:9" x14ac:dyDescent="0.25">
      <c r="A24" s="11">
        <v>22</v>
      </c>
      <c r="B24" s="12">
        <f>VLOOKUP(I24,Sheet3!C:D,2,FALSE)</f>
        <v>6</v>
      </c>
      <c r="C24" s="22" t="s">
        <v>132</v>
      </c>
      <c r="D24" s="22">
        <v>601</v>
      </c>
      <c r="E24" s="11">
        <f t="shared" si="0"/>
        <v>22</v>
      </c>
      <c r="G24" s="22" t="s">
        <v>131</v>
      </c>
      <c r="H24" s="23"/>
      <c r="I24" t="str">
        <f t="shared" si="1"/>
        <v>特殊状態（）</v>
      </c>
    </row>
    <row r="25" spans="1:9" x14ac:dyDescent="0.25">
      <c r="A25" s="11">
        <v>23</v>
      </c>
      <c r="B25" s="12">
        <f>VLOOKUP(I25,Sheet3!C:D,2,FALSE)</f>
        <v>6</v>
      </c>
      <c r="C25" s="22" t="s">
        <v>133</v>
      </c>
      <c r="D25" s="22">
        <v>602</v>
      </c>
      <c r="E25" s="11">
        <f t="shared" si="0"/>
        <v>23</v>
      </c>
      <c r="G25" s="22" t="s">
        <v>131</v>
      </c>
      <c r="H25" s="23"/>
      <c r="I25" t="str">
        <f t="shared" si="1"/>
        <v>特殊状態（）</v>
      </c>
    </row>
    <row r="26" spans="1:9" x14ac:dyDescent="0.25">
      <c r="A26" s="11">
        <v>24</v>
      </c>
      <c r="B26" s="12">
        <f>VLOOKUP(I26,Sheet3!C:D,2,FALSE)</f>
        <v>6</v>
      </c>
      <c r="C26" s="22" t="s">
        <v>134</v>
      </c>
      <c r="D26" s="22">
        <v>603</v>
      </c>
      <c r="E26" s="11">
        <f t="shared" si="0"/>
        <v>24</v>
      </c>
      <c r="G26" s="22" t="s">
        <v>131</v>
      </c>
      <c r="H26" s="23"/>
      <c r="I26" t="str">
        <f t="shared" si="1"/>
        <v>特殊状態（）</v>
      </c>
    </row>
    <row r="27" spans="1:9" x14ac:dyDescent="0.25">
      <c r="A27" s="11">
        <v>25</v>
      </c>
      <c r="B27" s="12">
        <f>VLOOKUP(I27,Sheet3!C:D,2,FALSE)</f>
        <v>6</v>
      </c>
      <c r="C27" s="22" t="s">
        <v>135</v>
      </c>
      <c r="D27" s="22">
        <v>604</v>
      </c>
      <c r="E27" s="11">
        <f t="shared" si="0"/>
        <v>25</v>
      </c>
      <c r="G27" s="22" t="s">
        <v>131</v>
      </c>
      <c r="H27" s="23"/>
      <c r="I27" t="str">
        <f t="shared" si="1"/>
        <v>特殊状態（）</v>
      </c>
    </row>
    <row r="28" spans="1:9" x14ac:dyDescent="0.25">
      <c r="A28" s="11">
        <v>26</v>
      </c>
      <c r="B28" s="12">
        <f>VLOOKUP(I28,Sheet3!C:D,2,FALSE)</f>
        <v>6</v>
      </c>
      <c r="C28" s="22" t="s">
        <v>288</v>
      </c>
      <c r="D28" s="22">
        <v>605</v>
      </c>
      <c r="E28" s="11">
        <f t="shared" si="0"/>
        <v>26</v>
      </c>
      <c r="G28" s="22" t="s">
        <v>131</v>
      </c>
      <c r="H28" s="23"/>
      <c r="I28" t="str">
        <f t="shared" si="1"/>
        <v>特殊状態（）</v>
      </c>
    </row>
    <row r="29" spans="1:9" x14ac:dyDescent="0.25">
      <c r="A29" s="11">
        <v>27</v>
      </c>
      <c r="B29" s="12">
        <f>VLOOKUP(I29,Sheet3!C:D,2,FALSE)</f>
        <v>6</v>
      </c>
      <c r="C29" s="22" t="s">
        <v>136</v>
      </c>
      <c r="D29" s="22">
        <v>606</v>
      </c>
      <c r="E29" s="11">
        <f t="shared" si="0"/>
        <v>27</v>
      </c>
      <c r="G29" s="22" t="s">
        <v>131</v>
      </c>
      <c r="H29" s="23"/>
      <c r="I29" t="str">
        <f t="shared" si="1"/>
        <v>特殊状態（）</v>
      </c>
    </row>
    <row r="30" spans="1:9" x14ac:dyDescent="0.25">
      <c r="A30" s="11">
        <v>28</v>
      </c>
      <c r="B30" s="12">
        <f>VLOOKUP(I30,Sheet3!C:D,2,FALSE)</f>
        <v>6</v>
      </c>
      <c r="C30" s="22" t="s">
        <v>289</v>
      </c>
      <c r="D30" s="22">
        <v>607</v>
      </c>
      <c r="E30" s="11">
        <f t="shared" si="0"/>
        <v>28</v>
      </c>
      <c r="G30" s="22" t="s">
        <v>131</v>
      </c>
      <c r="H30" s="23"/>
      <c r="I30" t="str">
        <f t="shared" si="1"/>
        <v>特殊状態（）</v>
      </c>
    </row>
    <row r="31" spans="1:9" x14ac:dyDescent="0.25">
      <c r="A31" s="11">
        <v>29</v>
      </c>
      <c r="B31" s="12">
        <f>VLOOKUP(I31,Sheet3!C:D,2,FALSE)</f>
        <v>6</v>
      </c>
      <c r="C31" s="22" t="s">
        <v>138</v>
      </c>
      <c r="D31" s="22">
        <v>608</v>
      </c>
      <c r="E31" s="11">
        <f t="shared" si="0"/>
        <v>29</v>
      </c>
      <c r="G31" s="22" t="s">
        <v>131</v>
      </c>
      <c r="H31" s="23"/>
      <c r="I31" t="str">
        <f t="shared" si="1"/>
        <v>特殊状態（）</v>
      </c>
    </row>
    <row r="32" spans="1:9" x14ac:dyDescent="0.25">
      <c r="A32" s="11">
        <v>30</v>
      </c>
      <c r="B32" s="12">
        <f>VLOOKUP(I32,Sheet3!C:D,2,FALSE)</f>
        <v>6</v>
      </c>
      <c r="C32" s="22" t="s">
        <v>140</v>
      </c>
      <c r="D32" s="22">
        <v>609</v>
      </c>
      <c r="E32" s="11">
        <f t="shared" si="0"/>
        <v>30</v>
      </c>
      <c r="G32" s="22" t="s">
        <v>131</v>
      </c>
      <c r="H32" s="23"/>
      <c r="I32" t="str">
        <f t="shared" si="1"/>
        <v>特殊状態（）</v>
      </c>
    </row>
    <row r="33" spans="1:9" x14ac:dyDescent="0.25">
      <c r="A33" s="11">
        <v>31</v>
      </c>
      <c r="B33" s="12">
        <f>VLOOKUP(I33,Sheet3!C:D,2,FALSE)</f>
        <v>6</v>
      </c>
      <c r="C33" s="22" t="s">
        <v>141</v>
      </c>
      <c r="D33" s="22">
        <v>610</v>
      </c>
      <c r="E33" s="11">
        <f t="shared" si="0"/>
        <v>31</v>
      </c>
      <c r="G33" s="22" t="s">
        <v>131</v>
      </c>
      <c r="H33" s="23"/>
      <c r="I33" t="str">
        <f t="shared" si="1"/>
        <v>特殊状態（）</v>
      </c>
    </row>
    <row r="34" spans="1:9" x14ac:dyDescent="0.25">
      <c r="A34" s="11">
        <v>32</v>
      </c>
      <c r="B34" s="12">
        <f>VLOOKUP(I34,Sheet3!C:D,2,FALSE)</f>
        <v>6</v>
      </c>
      <c r="C34" s="22" t="s">
        <v>142</v>
      </c>
      <c r="D34" s="22">
        <v>611</v>
      </c>
      <c r="E34" s="11">
        <f t="shared" si="0"/>
        <v>32</v>
      </c>
      <c r="G34" s="22" t="s">
        <v>131</v>
      </c>
      <c r="H34" s="23"/>
      <c r="I34" t="str">
        <f t="shared" si="1"/>
        <v>特殊状態（）</v>
      </c>
    </row>
    <row r="35" spans="1:9" x14ac:dyDescent="0.25">
      <c r="A35" s="11">
        <v>33</v>
      </c>
      <c r="B35" s="12">
        <f>VLOOKUP(I35,Sheet3!C:D,2,FALSE)</f>
        <v>6</v>
      </c>
      <c r="C35" s="22" t="s">
        <v>144</v>
      </c>
      <c r="D35" s="22">
        <v>612</v>
      </c>
      <c r="E35" s="11">
        <f t="shared" si="0"/>
        <v>33</v>
      </c>
      <c r="G35" s="22" t="s">
        <v>131</v>
      </c>
      <c r="H35" s="23"/>
      <c r="I35" t="str">
        <f t="shared" si="1"/>
        <v>特殊状態（）</v>
      </c>
    </row>
    <row r="36" spans="1:9" x14ac:dyDescent="0.25">
      <c r="A36" s="11">
        <v>34</v>
      </c>
      <c r="B36" s="12">
        <f>VLOOKUP(I36,Sheet3!C:D,2,FALSE)</f>
        <v>6</v>
      </c>
      <c r="C36" s="22" t="s">
        <v>143</v>
      </c>
      <c r="D36" s="22">
        <v>613</v>
      </c>
      <c r="E36" s="11">
        <f t="shared" si="0"/>
        <v>34</v>
      </c>
      <c r="G36" s="22" t="s">
        <v>131</v>
      </c>
      <c r="H36" s="23"/>
      <c r="I36" t="str">
        <f t="shared" si="1"/>
        <v>特殊状態（）</v>
      </c>
    </row>
    <row r="37" spans="1:9" x14ac:dyDescent="0.25">
      <c r="A37" s="11">
        <v>35</v>
      </c>
      <c r="B37" s="12">
        <f>VLOOKUP(I37,Sheet3!C:D,2,FALSE)</f>
        <v>6</v>
      </c>
      <c r="C37" s="22" t="s">
        <v>145</v>
      </c>
      <c r="D37" s="22">
        <v>614</v>
      </c>
      <c r="E37" s="11">
        <f t="shared" si="0"/>
        <v>35</v>
      </c>
      <c r="G37" s="22" t="s">
        <v>131</v>
      </c>
      <c r="H37" s="23"/>
      <c r="I37" t="str">
        <f t="shared" si="1"/>
        <v>特殊状態（）</v>
      </c>
    </row>
    <row r="38" spans="1:9" x14ac:dyDescent="0.25">
      <c r="A38" s="11">
        <v>36</v>
      </c>
      <c r="B38" s="12">
        <f>VLOOKUP(I38,Sheet3!C:D,2,FALSE)</f>
        <v>6</v>
      </c>
      <c r="C38" s="22" t="s">
        <v>146</v>
      </c>
      <c r="D38" s="22">
        <v>615</v>
      </c>
      <c r="E38" s="11">
        <f t="shared" si="0"/>
        <v>36</v>
      </c>
      <c r="G38" s="22" t="s">
        <v>131</v>
      </c>
      <c r="H38" s="23"/>
      <c r="I38" t="str">
        <f t="shared" si="1"/>
        <v>特殊状態（）</v>
      </c>
    </row>
    <row r="39" spans="1:9" x14ac:dyDescent="0.25">
      <c r="A39" s="11">
        <v>37</v>
      </c>
      <c r="B39" s="12">
        <f>VLOOKUP(I39,Sheet3!C:D,2,FALSE)</f>
        <v>6</v>
      </c>
      <c r="C39" s="22" t="s">
        <v>147</v>
      </c>
      <c r="D39" s="22">
        <v>616</v>
      </c>
      <c r="E39" s="11">
        <f t="shared" si="0"/>
        <v>37</v>
      </c>
      <c r="G39" s="22" t="s">
        <v>131</v>
      </c>
      <c r="H39" s="23"/>
      <c r="I39" t="str">
        <f t="shared" si="1"/>
        <v>特殊状態（）</v>
      </c>
    </row>
    <row r="40" spans="1:9" x14ac:dyDescent="0.25">
      <c r="A40" s="11">
        <v>38</v>
      </c>
      <c r="B40" s="12">
        <f>VLOOKUP(I40,Sheet3!C:D,2,FALSE)</f>
        <v>6</v>
      </c>
      <c r="C40" s="22" t="s">
        <v>148</v>
      </c>
      <c r="D40" s="22">
        <v>617</v>
      </c>
      <c r="E40" s="11">
        <f t="shared" si="0"/>
        <v>38</v>
      </c>
      <c r="G40" s="22" t="s">
        <v>131</v>
      </c>
      <c r="H40" s="23"/>
      <c r="I40" t="str">
        <f t="shared" si="1"/>
        <v>特殊状態（）</v>
      </c>
    </row>
    <row r="41" spans="1:9" x14ac:dyDescent="0.25">
      <c r="A41" s="11">
        <v>39</v>
      </c>
      <c r="B41" s="12">
        <f>VLOOKUP(I41,Sheet3!C:D,2,FALSE)</f>
        <v>6</v>
      </c>
      <c r="C41" s="22" t="s">
        <v>149</v>
      </c>
      <c r="D41" s="22">
        <v>618</v>
      </c>
      <c r="E41" s="11">
        <f t="shared" si="0"/>
        <v>39</v>
      </c>
      <c r="G41" s="22" t="s">
        <v>131</v>
      </c>
      <c r="H41" s="23"/>
      <c r="I41" t="str">
        <f t="shared" si="1"/>
        <v>特殊状態（）</v>
      </c>
    </row>
    <row r="42" spans="1:9" x14ac:dyDescent="0.25">
      <c r="A42" s="11">
        <v>40</v>
      </c>
      <c r="B42" s="12">
        <f>VLOOKUP(I42,Sheet3!C:D,2,FALSE)</f>
        <v>6</v>
      </c>
      <c r="C42" s="22" t="s">
        <v>150</v>
      </c>
      <c r="D42" s="22">
        <v>619</v>
      </c>
      <c r="E42" s="11">
        <f t="shared" si="0"/>
        <v>40</v>
      </c>
      <c r="G42" s="22" t="s">
        <v>131</v>
      </c>
      <c r="H42" s="23"/>
      <c r="I42" t="str">
        <f t="shared" si="1"/>
        <v>特殊状態（）</v>
      </c>
    </row>
    <row r="43" spans="1:9" x14ac:dyDescent="0.25">
      <c r="A43" s="11">
        <v>41</v>
      </c>
      <c r="B43" s="12">
        <f>VLOOKUP(I43,Sheet3!C:D,2,FALSE)</f>
        <v>6</v>
      </c>
      <c r="C43" s="22" t="s">
        <v>151</v>
      </c>
      <c r="D43" s="22">
        <v>620</v>
      </c>
      <c r="E43" s="11">
        <f t="shared" si="0"/>
        <v>41</v>
      </c>
      <c r="G43" s="22" t="s">
        <v>131</v>
      </c>
      <c r="H43" s="23"/>
      <c r="I43" t="str">
        <f t="shared" si="1"/>
        <v>特殊状態（）</v>
      </c>
    </row>
    <row r="44" spans="1:9" x14ac:dyDescent="0.25">
      <c r="A44" s="11">
        <v>42</v>
      </c>
      <c r="B44" s="12">
        <f>VLOOKUP(I44,Sheet3!C:D,2,FALSE)</f>
        <v>6</v>
      </c>
      <c r="C44" s="22" t="s">
        <v>152</v>
      </c>
      <c r="D44" s="22">
        <v>621</v>
      </c>
      <c r="E44" s="11">
        <f t="shared" si="0"/>
        <v>42</v>
      </c>
      <c r="G44" s="22" t="s">
        <v>131</v>
      </c>
      <c r="H44" s="23"/>
      <c r="I44" t="str">
        <f t="shared" si="1"/>
        <v>特殊状態（）</v>
      </c>
    </row>
    <row r="45" spans="1:9" x14ac:dyDescent="0.25">
      <c r="A45" s="11">
        <v>43</v>
      </c>
      <c r="B45" s="12">
        <f>VLOOKUP(I45,Sheet3!C:D,2,FALSE)</f>
        <v>6</v>
      </c>
      <c r="C45" s="22" t="s">
        <v>154</v>
      </c>
      <c r="D45" s="22">
        <v>622</v>
      </c>
      <c r="E45" s="11">
        <f t="shared" si="0"/>
        <v>43</v>
      </c>
      <c r="G45" s="22" t="s">
        <v>131</v>
      </c>
      <c r="H45" s="23"/>
      <c r="I45" t="str">
        <f t="shared" si="1"/>
        <v>特殊状態（）</v>
      </c>
    </row>
    <row r="46" spans="1:9" x14ac:dyDescent="0.25">
      <c r="A46" s="11">
        <v>44</v>
      </c>
      <c r="B46" s="12">
        <f>VLOOKUP(I46,Sheet3!C:D,2,FALSE)</f>
        <v>6</v>
      </c>
      <c r="C46" s="22" t="s">
        <v>155</v>
      </c>
      <c r="D46" s="22">
        <v>623</v>
      </c>
      <c r="E46" s="11">
        <f t="shared" si="0"/>
        <v>44</v>
      </c>
      <c r="G46" s="22" t="s">
        <v>131</v>
      </c>
      <c r="H46" s="23"/>
      <c r="I46" t="str">
        <f t="shared" si="1"/>
        <v>特殊状態（）</v>
      </c>
    </row>
    <row r="47" spans="1:9" x14ac:dyDescent="0.25">
      <c r="A47" s="11">
        <v>45</v>
      </c>
      <c r="B47" s="12">
        <f>VLOOKUP(I47,Sheet3!C:D,2,FALSE)</f>
        <v>6</v>
      </c>
      <c r="C47" s="22" t="s">
        <v>156</v>
      </c>
      <c r="D47" s="22">
        <v>624</v>
      </c>
      <c r="E47" s="11">
        <f t="shared" si="0"/>
        <v>45</v>
      </c>
      <c r="G47" s="22" t="s">
        <v>131</v>
      </c>
      <c r="H47" s="23"/>
      <c r="I47" t="str">
        <f t="shared" si="1"/>
        <v>特殊状態（）</v>
      </c>
    </row>
    <row r="48" spans="1:9" x14ac:dyDescent="0.25">
      <c r="A48" s="11">
        <v>46</v>
      </c>
      <c r="B48" s="12">
        <f>VLOOKUP(I48,Sheet3!C:D,2,FALSE)</f>
        <v>6</v>
      </c>
      <c r="C48" s="22" t="s">
        <v>157</v>
      </c>
      <c r="D48" s="22">
        <v>625</v>
      </c>
      <c r="E48" s="11">
        <f t="shared" si="0"/>
        <v>46</v>
      </c>
      <c r="G48" s="22" t="s">
        <v>131</v>
      </c>
      <c r="H48" s="23"/>
      <c r="I48" t="str">
        <f t="shared" si="1"/>
        <v>特殊状態（）</v>
      </c>
    </row>
    <row r="49" spans="1:9" x14ac:dyDescent="0.25">
      <c r="A49" s="11">
        <v>47</v>
      </c>
      <c r="B49" s="12">
        <f>VLOOKUP(I49,Sheet3!C:D,2,FALSE)</f>
        <v>6</v>
      </c>
      <c r="C49" s="22" t="s">
        <v>158</v>
      </c>
      <c r="D49" s="22">
        <v>626</v>
      </c>
      <c r="E49" s="11">
        <f t="shared" si="0"/>
        <v>47</v>
      </c>
      <c r="G49" s="22" t="s">
        <v>131</v>
      </c>
      <c r="H49" s="23"/>
      <c r="I49" t="str">
        <f t="shared" si="1"/>
        <v>特殊状態（）</v>
      </c>
    </row>
    <row r="50" spans="1:9" x14ac:dyDescent="0.25">
      <c r="A50" s="11">
        <v>48</v>
      </c>
      <c r="B50" s="12">
        <f>VLOOKUP(I50,Sheet3!C:D,2,FALSE)</f>
        <v>6</v>
      </c>
      <c r="C50" s="22" t="s">
        <v>159</v>
      </c>
      <c r="D50" s="22">
        <v>627</v>
      </c>
      <c r="E50" s="11">
        <f t="shared" si="0"/>
        <v>48</v>
      </c>
      <c r="G50" s="22" t="s">
        <v>131</v>
      </c>
      <c r="H50" s="23"/>
      <c r="I50" t="str">
        <f t="shared" si="1"/>
        <v>特殊状態（）</v>
      </c>
    </row>
    <row r="51" spans="1:9" x14ac:dyDescent="0.25">
      <c r="A51" s="11">
        <v>49</v>
      </c>
      <c r="B51" s="12">
        <f>VLOOKUP(I51,Sheet3!C:D,2,FALSE)</f>
        <v>6</v>
      </c>
      <c r="C51" s="22" t="s">
        <v>160</v>
      </c>
      <c r="D51" s="22">
        <v>628</v>
      </c>
      <c r="E51" s="11">
        <f t="shared" si="0"/>
        <v>49</v>
      </c>
      <c r="G51" s="22" t="s">
        <v>131</v>
      </c>
      <c r="H51" s="23"/>
      <c r="I51" t="str">
        <f t="shared" si="1"/>
        <v>特殊状態（）</v>
      </c>
    </row>
    <row r="52" spans="1:9" x14ac:dyDescent="0.25">
      <c r="A52" s="11">
        <v>50</v>
      </c>
      <c r="B52" s="12">
        <f>VLOOKUP(I52,Sheet3!C:D,2,FALSE)</f>
        <v>6</v>
      </c>
      <c r="C52" s="22" t="s">
        <v>161</v>
      </c>
      <c r="D52" s="22">
        <v>629</v>
      </c>
      <c r="E52" s="11">
        <f t="shared" si="0"/>
        <v>50</v>
      </c>
      <c r="G52" s="22" t="s">
        <v>131</v>
      </c>
      <c r="H52" s="23"/>
      <c r="I52" t="str">
        <f t="shared" si="1"/>
        <v>特殊状態（）</v>
      </c>
    </row>
    <row r="53" spans="1:9" x14ac:dyDescent="0.25">
      <c r="A53" s="11">
        <v>51</v>
      </c>
      <c r="B53" s="12">
        <f>VLOOKUP(I53,Sheet3!C:D,2,FALSE)</f>
        <v>6</v>
      </c>
      <c r="C53" s="22" t="s">
        <v>162</v>
      </c>
      <c r="D53" s="22">
        <v>630</v>
      </c>
      <c r="E53" s="11">
        <f t="shared" si="0"/>
        <v>51</v>
      </c>
      <c r="G53" s="22" t="s">
        <v>131</v>
      </c>
      <c r="H53" s="23"/>
      <c r="I53" t="str">
        <f t="shared" si="1"/>
        <v>特殊状態（）</v>
      </c>
    </row>
    <row r="54" spans="1:9" x14ac:dyDescent="0.25">
      <c r="A54" s="11">
        <v>52</v>
      </c>
      <c r="B54" s="12">
        <f>VLOOKUP(I54,Sheet3!C:D,2,FALSE)</f>
        <v>6</v>
      </c>
      <c r="C54" s="22" t="s">
        <v>163</v>
      </c>
      <c r="D54" s="22">
        <v>631</v>
      </c>
      <c r="E54" s="11">
        <f t="shared" si="0"/>
        <v>52</v>
      </c>
      <c r="G54" s="22" t="s">
        <v>131</v>
      </c>
      <c r="H54" s="23"/>
      <c r="I54" t="str">
        <f t="shared" si="1"/>
        <v>特殊状態（）</v>
      </c>
    </row>
    <row r="55" spans="1:9" x14ac:dyDescent="0.25">
      <c r="A55" s="11">
        <v>53</v>
      </c>
      <c r="B55" s="12">
        <f>VLOOKUP(I55,Sheet3!C:D,2,FALSE)</f>
        <v>6</v>
      </c>
      <c r="C55" s="22" t="s">
        <v>167</v>
      </c>
      <c r="D55" s="22">
        <v>632</v>
      </c>
      <c r="E55" s="11">
        <f t="shared" si="0"/>
        <v>53</v>
      </c>
      <c r="G55" s="22" t="s">
        <v>131</v>
      </c>
      <c r="H55" s="23"/>
      <c r="I55" t="str">
        <f t="shared" si="1"/>
        <v>特殊状態（）</v>
      </c>
    </row>
    <row r="56" spans="1:9" x14ac:dyDescent="0.25">
      <c r="A56" s="11">
        <v>54</v>
      </c>
      <c r="B56" s="12">
        <f>VLOOKUP(I56,Sheet3!C:D,2,FALSE)</f>
        <v>6</v>
      </c>
      <c r="C56" s="22" t="s">
        <v>165</v>
      </c>
      <c r="D56" s="22">
        <v>633</v>
      </c>
      <c r="E56" s="11">
        <f t="shared" si="0"/>
        <v>54</v>
      </c>
      <c r="G56" s="22" t="s">
        <v>131</v>
      </c>
      <c r="H56" s="23"/>
      <c r="I56" t="str">
        <f t="shared" si="1"/>
        <v>特殊状態（）</v>
      </c>
    </row>
    <row r="57" spans="1:9" x14ac:dyDescent="0.25">
      <c r="A57" s="11">
        <v>55</v>
      </c>
      <c r="B57" s="12">
        <f>VLOOKUP(I57,Sheet3!C:D,2,FALSE)</f>
        <v>6</v>
      </c>
      <c r="C57" s="22" t="s">
        <v>166</v>
      </c>
      <c r="D57" s="22">
        <v>634</v>
      </c>
      <c r="E57" s="11">
        <f t="shared" si="0"/>
        <v>55</v>
      </c>
      <c r="G57" s="22" t="s">
        <v>131</v>
      </c>
      <c r="H57" s="23"/>
      <c r="I57" t="str">
        <f t="shared" si="1"/>
        <v>特殊状態（）</v>
      </c>
    </row>
    <row r="58" spans="1:9" x14ac:dyDescent="0.25">
      <c r="A58" s="11">
        <v>56</v>
      </c>
      <c r="B58" s="12">
        <f>VLOOKUP(I58,Sheet3!C:D,2,FALSE)</f>
        <v>6</v>
      </c>
      <c r="C58" s="22" t="s">
        <v>164</v>
      </c>
      <c r="D58" s="22">
        <v>635</v>
      </c>
      <c r="E58" s="11">
        <f t="shared" si="0"/>
        <v>56</v>
      </c>
      <c r="G58" s="22" t="s">
        <v>131</v>
      </c>
      <c r="H58" s="23"/>
      <c r="I58" t="str">
        <f t="shared" si="1"/>
        <v>特殊状態（）</v>
      </c>
    </row>
    <row r="59" spans="1:9" x14ac:dyDescent="0.25">
      <c r="A59" s="11">
        <v>57</v>
      </c>
      <c r="B59" s="12">
        <f>VLOOKUP(I59,Sheet3!C:D,2,FALSE)</f>
        <v>6</v>
      </c>
      <c r="C59" s="22" t="s">
        <v>175</v>
      </c>
      <c r="D59" s="22">
        <v>636</v>
      </c>
      <c r="E59" s="11">
        <f t="shared" si="0"/>
        <v>57</v>
      </c>
      <c r="G59" s="22" t="s">
        <v>131</v>
      </c>
      <c r="H59" s="23"/>
      <c r="I59" t="str">
        <f t="shared" si="1"/>
        <v>特殊状態（）</v>
      </c>
    </row>
    <row r="60" spans="1:9" x14ac:dyDescent="0.25">
      <c r="A60" s="11">
        <v>58</v>
      </c>
      <c r="B60" s="12">
        <f>VLOOKUP(I60,Sheet3!C:D,2,FALSE)</f>
        <v>6</v>
      </c>
      <c r="C60" s="22" t="s">
        <v>168</v>
      </c>
      <c r="D60" s="22">
        <v>637</v>
      </c>
      <c r="E60" s="11">
        <f t="shared" si="0"/>
        <v>58</v>
      </c>
      <c r="G60" s="22" t="s">
        <v>131</v>
      </c>
      <c r="H60" s="23"/>
      <c r="I60" t="str">
        <f t="shared" si="1"/>
        <v>特殊状態（）</v>
      </c>
    </row>
    <row r="61" spans="1:9" x14ac:dyDescent="0.25">
      <c r="A61" s="11">
        <v>59</v>
      </c>
      <c r="B61" s="12">
        <f>VLOOKUP(I61,Sheet3!C:D,2,FALSE)</f>
        <v>6</v>
      </c>
      <c r="C61" s="22" t="s">
        <v>169</v>
      </c>
      <c r="D61" s="22">
        <v>638</v>
      </c>
      <c r="E61" s="11">
        <f t="shared" si="0"/>
        <v>59</v>
      </c>
      <c r="G61" s="22" t="s">
        <v>131</v>
      </c>
      <c r="H61" s="23"/>
      <c r="I61" t="str">
        <f t="shared" si="1"/>
        <v>特殊状態（）</v>
      </c>
    </row>
    <row r="62" spans="1:9" x14ac:dyDescent="0.25">
      <c r="A62" s="11">
        <v>60</v>
      </c>
      <c r="B62" s="12">
        <f>VLOOKUP(I62,Sheet3!C:D,2,FALSE)</f>
        <v>6</v>
      </c>
      <c r="C62" s="22" t="s">
        <v>170</v>
      </c>
      <c r="D62" s="22">
        <v>639</v>
      </c>
      <c r="E62" s="11">
        <f t="shared" si="0"/>
        <v>60</v>
      </c>
      <c r="G62" s="22" t="s">
        <v>131</v>
      </c>
      <c r="H62" s="23"/>
      <c r="I62" t="str">
        <f t="shared" si="1"/>
        <v>特殊状態（）</v>
      </c>
    </row>
    <row r="63" spans="1:9" x14ac:dyDescent="0.25">
      <c r="A63" s="11">
        <v>61</v>
      </c>
      <c r="B63" s="12">
        <f>VLOOKUP(I63,Sheet3!C:D,2,FALSE)</f>
        <v>6</v>
      </c>
      <c r="C63" s="22" t="s">
        <v>174</v>
      </c>
      <c r="D63" s="22">
        <v>640</v>
      </c>
      <c r="E63" s="11">
        <f t="shared" si="0"/>
        <v>61</v>
      </c>
      <c r="G63" s="22" t="s">
        <v>131</v>
      </c>
      <c r="H63" s="23"/>
      <c r="I63" t="str">
        <f t="shared" si="1"/>
        <v>特殊状態（）</v>
      </c>
    </row>
    <row r="64" spans="1:9" x14ac:dyDescent="0.25">
      <c r="A64" s="11">
        <v>62</v>
      </c>
      <c r="B64" s="12">
        <f>VLOOKUP(I64,Sheet3!C:D,2,FALSE)</f>
        <v>6</v>
      </c>
      <c r="C64" s="22" t="s">
        <v>172</v>
      </c>
      <c r="D64" s="22">
        <v>641</v>
      </c>
      <c r="E64" s="11">
        <f t="shared" si="0"/>
        <v>62</v>
      </c>
      <c r="G64" s="22" t="s">
        <v>131</v>
      </c>
      <c r="H64" s="23"/>
      <c r="I64" t="str">
        <f t="shared" si="1"/>
        <v>特殊状態（）</v>
      </c>
    </row>
    <row r="65" spans="1:9" x14ac:dyDescent="0.25">
      <c r="A65" s="11">
        <v>63</v>
      </c>
      <c r="B65" s="12">
        <f>VLOOKUP(I65,Sheet3!C:D,2,FALSE)</f>
        <v>6</v>
      </c>
      <c r="C65" s="22" t="s">
        <v>173</v>
      </c>
      <c r="D65" s="22">
        <v>642</v>
      </c>
      <c r="E65" s="11">
        <f t="shared" si="0"/>
        <v>63</v>
      </c>
      <c r="G65" s="22" t="s">
        <v>131</v>
      </c>
      <c r="H65" s="23"/>
      <c r="I65" t="str">
        <f t="shared" si="1"/>
        <v>特殊状態（）</v>
      </c>
    </row>
    <row r="66" spans="1:9" x14ac:dyDescent="0.25">
      <c r="A66" s="11">
        <v>64</v>
      </c>
      <c r="B66" s="12">
        <f>VLOOKUP(I66,Sheet3!C:D,2,FALSE)</f>
        <v>6</v>
      </c>
      <c r="C66" s="22" t="s">
        <v>171</v>
      </c>
      <c r="D66" s="22">
        <v>643</v>
      </c>
      <c r="E66" s="11">
        <f t="shared" si="0"/>
        <v>64</v>
      </c>
      <c r="G66" s="22" t="s">
        <v>131</v>
      </c>
      <c r="H66" s="23"/>
      <c r="I66" t="str">
        <f t="shared" si="1"/>
        <v>特殊状態（）</v>
      </c>
    </row>
    <row r="67" spans="1:9" x14ac:dyDescent="0.25">
      <c r="A67" s="11">
        <v>65</v>
      </c>
      <c r="B67" s="12">
        <f>VLOOKUP(I67,Sheet3!C:D,2,FALSE)</f>
        <v>6</v>
      </c>
      <c r="C67" s="22" t="s">
        <v>177</v>
      </c>
      <c r="D67" s="22">
        <v>644</v>
      </c>
      <c r="E67" s="11">
        <f t="shared" si="0"/>
        <v>65</v>
      </c>
      <c r="G67" s="22" t="s">
        <v>131</v>
      </c>
      <c r="H67" s="23"/>
      <c r="I67" t="str">
        <f t="shared" si="1"/>
        <v>特殊状態（）</v>
      </c>
    </row>
    <row r="68" spans="1:9" x14ac:dyDescent="0.25">
      <c r="A68" s="11">
        <v>66</v>
      </c>
      <c r="B68" s="12">
        <f>VLOOKUP(I68,Sheet3!C:D,2,FALSE)</f>
        <v>6</v>
      </c>
      <c r="C68" s="22" t="s">
        <v>179</v>
      </c>
      <c r="D68" s="22">
        <v>645</v>
      </c>
      <c r="E68" s="11">
        <f t="shared" ref="E68:E131" si="2">A68</f>
        <v>66</v>
      </c>
      <c r="G68" s="22" t="s">
        <v>131</v>
      </c>
      <c r="H68" s="23"/>
      <c r="I68" t="str">
        <f t="shared" ref="I68:I131" si="3">G68&amp;"（"&amp;H68&amp;"）"</f>
        <v>特殊状態（）</v>
      </c>
    </row>
    <row r="69" spans="1:9" x14ac:dyDescent="0.25">
      <c r="A69" s="11">
        <v>67</v>
      </c>
      <c r="B69" s="12">
        <f>VLOOKUP(I69,Sheet3!C:D,2,FALSE)</f>
        <v>6</v>
      </c>
      <c r="C69" s="22" t="s">
        <v>181</v>
      </c>
      <c r="D69" s="22">
        <v>646</v>
      </c>
      <c r="E69" s="11">
        <f t="shared" si="2"/>
        <v>67</v>
      </c>
      <c r="G69" s="22" t="s">
        <v>131</v>
      </c>
      <c r="H69" s="23"/>
      <c r="I69" t="str">
        <f t="shared" si="3"/>
        <v>特殊状態（）</v>
      </c>
    </row>
    <row r="70" spans="1:9" x14ac:dyDescent="0.25">
      <c r="A70" s="11">
        <v>68</v>
      </c>
      <c r="B70" s="12">
        <f>VLOOKUP(I70,Sheet3!C:D,2,FALSE)</f>
        <v>6</v>
      </c>
      <c r="C70" s="22" t="s">
        <v>182</v>
      </c>
      <c r="D70" s="22">
        <v>647</v>
      </c>
      <c r="E70" s="11">
        <f t="shared" si="2"/>
        <v>68</v>
      </c>
      <c r="G70" s="22" t="s">
        <v>131</v>
      </c>
      <c r="H70" s="23"/>
      <c r="I70" t="str">
        <f t="shared" si="3"/>
        <v>特殊状態（）</v>
      </c>
    </row>
    <row r="71" spans="1:9" x14ac:dyDescent="0.25">
      <c r="A71" s="11">
        <v>69</v>
      </c>
      <c r="B71" s="12">
        <f>VLOOKUP(I71,Sheet3!C:D,2,FALSE)</f>
        <v>6</v>
      </c>
      <c r="C71" s="22" t="s">
        <v>183</v>
      </c>
      <c r="D71" s="22">
        <v>648</v>
      </c>
      <c r="E71" s="11">
        <f t="shared" si="2"/>
        <v>69</v>
      </c>
      <c r="G71" s="22" t="s">
        <v>131</v>
      </c>
      <c r="H71" s="23"/>
      <c r="I71" t="str">
        <f t="shared" si="3"/>
        <v>特殊状態（）</v>
      </c>
    </row>
    <row r="72" spans="1:9" x14ac:dyDescent="0.25">
      <c r="A72" s="11">
        <v>70</v>
      </c>
      <c r="B72" s="12">
        <f>VLOOKUP(I72,Sheet3!C:D,2,FALSE)</f>
        <v>6</v>
      </c>
      <c r="C72" s="22" t="s">
        <v>184</v>
      </c>
      <c r="D72" s="22">
        <v>649</v>
      </c>
      <c r="E72" s="11">
        <f t="shared" si="2"/>
        <v>70</v>
      </c>
      <c r="G72" s="22" t="s">
        <v>131</v>
      </c>
      <c r="H72" s="23"/>
      <c r="I72" t="str">
        <f t="shared" si="3"/>
        <v>特殊状態（）</v>
      </c>
    </row>
    <row r="73" spans="1:9" x14ac:dyDescent="0.25">
      <c r="A73" s="11">
        <v>71</v>
      </c>
      <c r="B73" s="12">
        <f>VLOOKUP(I73,Sheet3!C:D,2,FALSE)</f>
        <v>6</v>
      </c>
      <c r="C73" s="22" t="s">
        <v>185</v>
      </c>
      <c r="D73" s="22">
        <v>650</v>
      </c>
      <c r="E73" s="11">
        <f t="shared" si="2"/>
        <v>71</v>
      </c>
      <c r="G73" s="22" t="s">
        <v>131</v>
      </c>
      <c r="H73" s="23"/>
      <c r="I73" t="str">
        <f t="shared" si="3"/>
        <v>特殊状態（）</v>
      </c>
    </row>
    <row r="74" spans="1:9" x14ac:dyDescent="0.25">
      <c r="A74" s="11">
        <v>72</v>
      </c>
      <c r="B74" s="12">
        <f>VLOOKUP(I74,Sheet3!C:D,2,FALSE)</f>
        <v>6</v>
      </c>
      <c r="C74" s="22" t="s">
        <v>186</v>
      </c>
      <c r="D74" s="22">
        <v>651</v>
      </c>
      <c r="E74" s="11">
        <f t="shared" si="2"/>
        <v>72</v>
      </c>
      <c r="G74" s="22" t="s">
        <v>131</v>
      </c>
      <c r="H74" s="23"/>
      <c r="I74" t="str">
        <f t="shared" si="3"/>
        <v>特殊状態（）</v>
      </c>
    </row>
    <row r="75" spans="1:9" x14ac:dyDescent="0.25">
      <c r="A75" s="11">
        <v>73</v>
      </c>
      <c r="B75" s="12">
        <f>VLOOKUP(I75,Sheet3!C:D,2,FALSE)</f>
        <v>6</v>
      </c>
      <c r="C75" s="22" t="s">
        <v>187</v>
      </c>
      <c r="D75" s="22">
        <v>652</v>
      </c>
      <c r="E75" s="11">
        <f t="shared" si="2"/>
        <v>73</v>
      </c>
      <c r="G75" s="22" t="s">
        <v>131</v>
      </c>
      <c r="H75" s="23"/>
      <c r="I75" t="str">
        <f t="shared" si="3"/>
        <v>特殊状態（）</v>
      </c>
    </row>
    <row r="76" spans="1:9" x14ac:dyDescent="0.25">
      <c r="A76" s="11">
        <v>74</v>
      </c>
      <c r="B76" s="12">
        <f>VLOOKUP(I76,Sheet3!C:D,2,FALSE)</f>
        <v>7</v>
      </c>
      <c r="C76" s="22" t="s">
        <v>290</v>
      </c>
      <c r="D76" s="22">
        <v>701</v>
      </c>
      <c r="E76" s="11">
        <f t="shared" si="2"/>
        <v>74</v>
      </c>
      <c r="G76" s="22" t="s">
        <v>101</v>
      </c>
      <c r="H76" s="23"/>
      <c r="I76" t="str">
        <f t="shared" si="3"/>
        <v>状態異常（）</v>
      </c>
    </row>
    <row r="77" spans="1:9" x14ac:dyDescent="0.25">
      <c r="A77" s="11">
        <v>75</v>
      </c>
      <c r="B77" s="12">
        <f>VLOOKUP(I77,Sheet3!C:D,2,FALSE)</f>
        <v>7</v>
      </c>
      <c r="C77" s="22" t="s">
        <v>291</v>
      </c>
      <c r="D77" s="22">
        <v>702</v>
      </c>
      <c r="E77" s="11">
        <f t="shared" si="2"/>
        <v>75</v>
      </c>
      <c r="G77" s="22" t="s">
        <v>101</v>
      </c>
      <c r="H77" s="23"/>
      <c r="I77" t="str">
        <f t="shared" si="3"/>
        <v>状態異常（）</v>
      </c>
    </row>
    <row r="78" spans="1:9" x14ac:dyDescent="0.25">
      <c r="A78" s="11">
        <v>76</v>
      </c>
      <c r="B78" s="12">
        <f>VLOOKUP(I78,Sheet3!C:D,2,FALSE)</f>
        <v>7</v>
      </c>
      <c r="C78" s="22" t="s">
        <v>292</v>
      </c>
      <c r="D78" s="22">
        <v>703</v>
      </c>
      <c r="E78" s="11">
        <f t="shared" si="2"/>
        <v>76</v>
      </c>
      <c r="G78" s="22" t="s">
        <v>101</v>
      </c>
      <c r="H78" s="23"/>
      <c r="I78" t="str">
        <f t="shared" si="3"/>
        <v>状態異常（）</v>
      </c>
    </row>
    <row r="79" spans="1:9" x14ac:dyDescent="0.25">
      <c r="A79" s="11">
        <v>77</v>
      </c>
      <c r="B79" s="12">
        <f>VLOOKUP(I79,Sheet3!C:D,2,FALSE)</f>
        <v>7</v>
      </c>
      <c r="C79" s="22" t="s">
        <v>293</v>
      </c>
      <c r="D79" s="22">
        <v>704</v>
      </c>
      <c r="E79" s="11">
        <f t="shared" si="2"/>
        <v>77</v>
      </c>
      <c r="G79" s="22" t="s">
        <v>101</v>
      </c>
      <c r="H79" s="23"/>
      <c r="I79" t="str">
        <f t="shared" si="3"/>
        <v>状態異常（）</v>
      </c>
    </row>
    <row r="80" spans="1:9" x14ac:dyDescent="0.25">
      <c r="A80" s="11">
        <v>78</v>
      </c>
      <c r="B80" s="12">
        <f>VLOOKUP(I80,Sheet3!C:D,2,FALSE)</f>
        <v>7</v>
      </c>
      <c r="C80" s="22" t="s">
        <v>294</v>
      </c>
      <c r="D80" s="22">
        <v>705</v>
      </c>
      <c r="E80" s="11">
        <f t="shared" si="2"/>
        <v>78</v>
      </c>
      <c r="G80" s="22" t="s">
        <v>101</v>
      </c>
      <c r="H80" s="23"/>
      <c r="I80" t="str">
        <f t="shared" si="3"/>
        <v>状態異常（）</v>
      </c>
    </row>
    <row r="81" spans="1:9" x14ac:dyDescent="0.25">
      <c r="A81" s="11">
        <v>79</v>
      </c>
      <c r="B81" s="12">
        <f>VLOOKUP(I81,Sheet3!C:D,2,FALSE)</f>
        <v>7</v>
      </c>
      <c r="C81" s="22" t="s">
        <v>295</v>
      </c>
      <c r="D81" s="22">
        <v>706</v>
      </c>
      <c r="E81" s="11">
        <f t="shared" si="2"/>
        <v>79</v>
      </c>
      <c r="G81" s="22" t="s">
        <v>101</v>
      </c>
      <c r="H81" s="23"/>
      <c r="I81" t="str">
        <f t="shared" si="3"/>
        <v>状態異常（）</v>
      </c>
    </row>
    <row r="82" spans="1:9" x14ac:dyDescent="0.25">
      <c r="A82" s="11">
        <v>80</v>
      </c>
      <c r="B82" s="12">
        <f>VLOOKUP(I82,Sheet3!C:D,2,FALSE)</f>
        <v>7</v>
      </c>
      <c r="C82" s="22" t="s">
        <v>296</v>
      </c>
      <c r="D82" s="22">
        <v>707</v>
      </c>
      <c r="E82" s="11">
        <f t="shared" si="2"/>
        <v>80</v>
      </c>
      <c r="G82" s="22" t="s">
        <v>101</v>
      </c>
      <c r="H82" s="23"/>
      <c r="I82" t="str">
        <f t="shared" si="3"/>
        <v>状態異常（）</v>
      </c>
    </row>
    <row r="83" spans="1:9" x14ac:dyDescent="0.25">
      <c r="A83" s="11">
        <v>81</v>
      </c>
      <c r="B83" s="12">
        <f>VLOOKUP(I83,Sheet3!C:D,2,FALSE)</f>
        <v>7</v>
      </c>
      <c r="C83" s="22" t="s">
        <v>297</v>
      </c>
      <c r="D83" s="22">
        <v>708</v>
      </c>
      <c r="E83" s="11">
        <f t="shared" si="2"/>
        <v>81</v>
      </c>
      <c r="G83" s="22" t="s">
        <v>101</v>
      </c>
      <c r="H83" s="23"/>
      <c r="I83" t="str">
        <f t="shared" si="3"/>
        <v>状態異常（）</v>
      </c>
    </row>
    <row r="84" spans="1:9" x14ac:dyDescent="0.25">
      <c r="A84" s="11">
        <v>82</v>
      </c>
      <c r="B84" s="12">
        <f>VLOOKUP(I84,Sheet3!C:D,2,FALSE)</f>
        <v>7</v>
      </c>
      <c r="C84" s="22" t="s">
        <v>298</v>
      </c>
      <c r="D84" s="22">
        <v>709</v>
      </c>
      <c r="E84" s="11">
        <f t="shared" si="2"/>
        <v>82</v>
      </c>
      <c r="G84" s="22" t="s">
        <v>101</v>
      </c>
      <c r="H84" s="23"/>
      <c r="I84" t="str">
        <f t="shared" si="3"/>
        <v>状態異常（）</v>
      </c>
    </row>
    <row r="85" spans="1:9" x14ac:dyDescent="0.25">
      <c r="A85" s="11">
        <v>83</v>
      </c>
      <c r="B85" s="12">
        <f>VLOOKUP(I85,Sheet3!C:D,2,FALSE)</f>
        <v>7</v>
      </c>
      <c r="C85" s="22" t="s">
        <v>299</v>
      </c>
      <c r="D85" s="22">
        <v>710</v>
      </c>
      <c r="E85" s="11">
        <f t="shared" si="2"/>
        <v>83</v>
      </c>
      <c r="G85" s="22" t="s">
        <v>101</v>
      </c>
      <c r="H85" s="23"/>
      <c r="I85" t="str">
        <f t="shared" si="3"/>
        <v>状態異常（）</v>
      </c>
    </row>
    <row r="86" spans="1:9" x14ac:dyDescent="0.25">
      <c r="A86" s="11">
        <v>84</v>
      </c>
      <c r="B86" s="12">
        <f>VLOOKUP(I86,Sheet3!C:D,2,FALSE)</f>
        <v>7</v>
      </c>
      <c r="C86" s="22" t="s">
        <v>300</v>
      </c>
      <c r="D86" s="22">
        <v>711</v>
      </c>
      <c r="E86" s="11">
        <f t="shared" si="2"/>
        <v>84</v>
      </c>
      <c r="G86" s="22" t="s">
        <v>101</v>
      </c>
      <c r="H86" s="23"/>
      <c r="I86" t="str">
        <f t="shared" si="3"/>
        <v>状態異常（）</v>
      </c>
    </row>
    <row r="87" spans="1:9" x14ac:dyDescent="0.25">
      <c r="A87" s="11">
        <v>85</v>
      </c>
      <c r="B87" s="12">
        <f>VLOOKUP(I87,Sheet3!C:D,2,FALSE)</f>
        <v>7</v>
      </c>
      <c r="C87" s="22" t="s">
        <v>301</v>
      </c>
      <c r="D87" s="22">
        <v>712</v>
      </c>
      <c r="E87" s="11">
        <f t="shared" si="2"/>
        <v>85</v>
      </c>
      <c r="G87" s="22" t="s">
        <v>101</v>
      </c>
      <c r="H87" s="23"/>
      <c r="I87" t="str">
        <f t="shared" si="3"/>
        <v>状態異常（）</v>
      </c>
    </row>
    <row r="88" spans="1:9" x14ac:dyDescent="0.25">
      <c r="A88" s="11">
        <v>86</v>
      </c>
      <c r="B88" s="12">
        <f>VLOOKUP(I88,Sheet3!C:D,2,FALSE)</f>
        <v>7</v>
      </c>
      <c r="C88" s="22" t="s">
        <v>302</v>
      </c>
      <c r="D88" s="22">
        <v>713</v>
      </c>
      <c r="E88" s="11">
        <f t="shared" si="2"/>
        <v>86</v>
      </c>
      <c r="G88" s="22" t="s">
        <v>101</v>
      </c>
      <c r="H88" s="23"/>
      <c r="I88" t="str">
        <f t="shared" si="3"/>
        <v>状態異常（）</v>
      </c>
    </row>
    <row r="89" spans="1:9" x14ac:dyDescent="0.25">
      <c r="A89" s="11">
        <v>87</v>
      </c>
      <c r="B89" s="12">
        <f>VLOOKUP(I89,Sheet3!C:D,2,FALSE)</f>
        <v>7</v>
      </c>
      <c r="C89" s="22" t="s">
        <v>303</v>
      </c>
      <c r="D89" s="22">
        <v>714</v>
      </c>
      <c r="E89" s="11">
        <f t="shared" si="2"/>
        <v>87</v>
      </c>
      <c r="G89" s="22" t="s">
        <v>101</v>
      </c>
      <c r="H89" s="23"/>
      <c r="I89" t="str">
        <f t="shared" si="3"/>
        <v>状態異常（）</v>
      </c>
    </row>
    <row r="90" spans="1:9" x14ac:dyDescent="0.25">
      <c r="A90" s="11">
        <v>88</v>
      </c>
      <c r="B90" s="12">
        <f>VLOOKUP(I90,Sheet3!C:D,2,FALSE)</f>
        <v>7</v>
      </c>
      <c r="C90" s="22" t="s">
        <v>305</v>
      </c>
      <c r="D90" s="22">
        <v>715</v>
      </c>
      <c r="E90" s="11">
        <f t="shared" si="2"/>
        <v>88</v>
      </c>
      <c r="G90" s="22" t="s">
        <v>101</v>
      </c>
      <c r="H90" s="23"/>
      <c r="I90" t="str">
        <f t="shared" si="3"/>
        <v>状態異常（）</v>
      </c>
    </row>
    <row r="91" spans="1:9" x14ac:dyDescent="0.25">
      <c r="A91" s="11">
        <v>89</v>
      </c>
      <c r="B91" s="12">
        <f>VLOOKUP(I91,Sheet3!C:D,2,FALSE)</f>
        <v>7</v>
      </c>
      <c r="C91" s="22" t="s">
        <v>307</v>
      </c>
      <c r="D91" s="22">
        <v>716</v>
      </c>
      <c r="E91" s="11">
        <f t="shared" si="2"/>
        <v>89</v>
      </c>
      <c r="G91" s="22" t="s">
        <v>101</v>
      </c>
      <c r="H91" s="23"/>
      <c r="I91" t="str">
        <f t="shared" si="3"/>
        <v>状態異常（）</v>
      </c>
    </row>
    <row r="92" spans="1:9" x14ac:dyDescent="0.25">
      <c r="A92" s="11">
        <v>90</v>
      </c>
      <c r="B92" s="12">
        <f>VLOOKUP(I92,Sheet3!C:D,2,FALSE)</f>
        <v>7</v>
      </c>
      <c r="C92" s="22" t="s">
        <v>308</v>
      </c>
      <c r="D92" s="22">
        <v>717</v>
      </c>
      <c r="E92" s="11">
        <f t="shared" si="2"/>
        <v>90</v>
      </c>
      <c r="G92" s="22" t="s">
        <v>101</v>
      </c>
      <c r="H92" s="23"/>
      <c r="I92" t="str">
        <f t="shared" si="3"/>
        <v>状態異常（）</v>
      </c>
    </row>
    <row r="93" spans="1:9" x14ac:dyDescent="0.25">
      <c r="A93" s="11">
        <v>91</v>
      </c>
      <c r="B93" s="12">
        <f>VLOOKUP(I93,Sheet3!C:D,2,FALSE)</f>
        <v>7</v>
      </c>
      <c r="C93" s="22" t="s">
        <v>309</v>
      </c>
      <c r="D93" s="22">
        <v>718</v>
      </c>
      <c r="E93" s="11">
        <f t="shared" si="2"/>
        <v>91</v>
      </c>
      <c r="G93" s="22" t="s">
        <v>101</v>
      </c>
      <c r="H93" s="23"/>
      <c r="I93" t="str">
        <f t="shared" si="3"/>
        <v>状態異常（）</v>
      </c>
    </row>
    <row r="94" spans="1:9" x14ac:dyDescent="0.25">
      <c r="A94" s="11">
        <v>92</v>
      </c>
      <c r="B94" s="12">
        <f>VLOOKUP(I94,Sheet3!C:D,2,FALSE)</f>
        <v>7</v>
      </c>
      <c r="C94" s="22" t="s">
        <v>310</v>
      </c>
      <c r="D94" s="22">
        <v>719</v>
      </c>
      <c r="E94" s="11">
        <f t="shared" si="2"/>
        <v>92</v>
      </c>
      <c r="G94" s="22" t="s">
        <v>101</v>
      </c>
      <c r="H94" s="23"/>
      <c r="I94" t="str">
        <f t="shared" si="3"/>
        <v>状態異常（）</v>
      </c>
    </row>
    <row r="95" spans="1:9" x14ac:dyDescent="0.25">
      <c r="A95" s="11">
        <v>93</v>
      </c>
      <c r="B95" s="12">
        <f>VLOOKUP(I95,Sheet3!C:D,2,FALSE)</f>
        <v>7</v>
      </c>
      <c r="C95" s="22" t="s">
        <v>311</v>
      </c>
      <c r="D95" s="22">
        <v>720</v>
      </c>
      <c r="E95" s="11">
        <f t="shared" si="2"/>
        <v>93</v>
      </c>
      <c r="G95" s="22" t="s">
        <v>101</v>
      </c>
      <c r="H95" s="23"/>
      <c r="I95" t="str">
        <f t="shared" si="3"/>
        <v>状態異常（）</v>
      </c>
    </row>
    <row r="96" spans="1:9" x14ac:dyDescent="0.25">
      <c r="A96" s="11">
        <v>94</v>
      </c>
      <c r="B96" s="12">
        <f>VLOOKUP(I96,Sheet3!C:D,2,FALSE)</f>
        <v>7</v>
      </c>
      <c r="C96" s="22" t="s">
        <v>313</v>
      </c>
      <c r="D96" s="22">
        <v>721</v>
      </c>
      <c r="E96" s="11">
        <f t="shared" si="2"/>
        <v>94</v>
      </c>
      <c r="G96" s="22" t="s">
        <v>101</v>
      </c>
      <c r="H96" s="23"/>
      <c r="I96" t="str">
        <f t="shared" si="3"/>
        <v>状態異常（）</v>
      </c>
    </row>
    <row r="97" spans="1:9" x14ac:dyDescent="0.25">
      <c r="A97" s="11">
        <v>95</v>
      </c>
      <c r="B97" s="12">
        <f>VLOOKUP(I97,Sheet3!C:D,2,FALSE)</f>
        <v>8</v>
      </c>
      <c r="C97" s="22" t="s">
        <v>188</v>
      </c>
      <c r="D97" s="22">
        <v>801</v>
      </c>
      <c r="E97" s="11">
        <f t="shared" si="2"/>
        <v>95</v>
      </c>
      <c r="G97" s="22" t="s">
        <v>102</v>
      </c>
      <c r="H97" s="23"/>
      <c r="I97" t="str">
        <f t="shared" si="3"/>
        <v>ステータス上昇（）</v>
      </c>
    </row>
    <row r="98" spans="1:9" x14ac:dyDescent="0.25">
      <c r="A98" s="11">
        <v>96</v>
      </c>
      <c r="B98" s="12">
        <f>VLOOKUP(I98,Sheet3!C:D,2,FALSE)</f>
        <v>8</v>
      </c>
      <c r="C98" s="22" t="s">
        <v>189</v>
      </c>
      <c r="D98" s="22">
        <v>802</v>
      </c>
      <c r="E98" s="11">
        <f t="shared" si="2"/>
        <v>96</v>
      </c>
      <c r="G98" s="22" t="s">
        <v>102</v>
      </c>
      <c r="H98" s="23"/>
      <c r="I98" t="str">
        <f t="shared" si="3"/>
        <v>ステータス上昇（）</v>
      </c>
    </row>
    <row r="99" spans="1:9" x14ac:dyDescent="0.25">
      <c r="A99" s="11">
        <v>97</v>
      </c>
      <c r="B99" s="12">
        <f>VLOOKUP(I99,Sheet3!C:D,2,FALSE)</f>
        <v>8</v>
      </c>
      <c r="C99" s="22" t="s">
        <v>338</v>
      </c>
      <c r="D99" s="22">
        <v>803</v>
      </c>
      <c r="E99" s="11">
        <f t="shared" si="2"/>
        <v>97</v>
      </c>
      <c r="G99" s="22" t="s">
        <v>102</v>
      </c>
      <c r="H99" s="23"/>
      <c r="I99" t="str">
        <f t="shared" si="3"/>
        <v>ステータス上昇（）</v>
      </c>
    </row>
    <row r="100" spans="1:9" x14ac:dyDescent="0.25">
      <c r="A100" s="11">
        <v>98</v>
      </c>
      <c r="B100" s="12">
        <f>VLOOKUP(I100,Sheet3!C:D,2,FALSE)</f>
        <v>8</v>
      </c>
      <c r="C100" s="22" t="s">
        <v>190</v>
      </c>
      <c r="D100" s="22">
        <v>804</v>
      </c>
      <c r="E100" s="11">
        <f t="shared" si="2"/>
        <v>98</v>
      </c>
      <c r="G100" s="22" t="s">
        <v>102</v>
      </c>
      <c r="H100" s="23"/>
      <c r="I100" t="str">
        <f t="shared" si="3"/>
        <v>ステータス上昇（）</v>
      </c>
    </row>
    <row r="101" spans="1:9" x14ac:dyDescent="0.25">
      <c r="A101" s="11">
        <v>99</v>
      </c>
      <c r="B101" s="12">
        <f>VLOOKUP(I101,Sheet3!C:D,2,FALSE)</f>
        <v>8</v>
      </c>
      <c r="C101" s="22" t="s">
        <v>191</v>
      </c>
      <c r="D101" s="22">
        <v>805</v>
      </c>
      <c r="E101" s="11">
        <f t="shared" si="2"/>
        <v>99</v>
      </c>
      <c r="G101" s="22" t="s">
        <v>102</v>
      </c>
      <c r="H101" s="23"/>
      <c r="I101" t="str">
        <f t="shared" si="3"/>
        <v>ステータス上昇（）</v>
      </c>
    </row>
    <row r="102" spans="1:9" x14ac:dyDescent="0.25">
      <c r="A102" s="11">
        <v>100</v>
      </c>
      <c r="B102" s="12">
        <f>VLOOKUP(I102,Sheet3!C:D,2,FALSE)</f>
        <v>8</v>
      </c>
      <c r="C102" s="22" t="s">
        <v>339</v>
      </c>
      <c r="D102" s="22">
        <v>806</v>
      </c>
      <c r="E102" s="11">
        <f t="shared" si="2"/>
        <v>100</v>
      </c>
      <c r="G102" s="22" t="s">
        <v>102</v>
      </c>
      <c r="H102" s="23"/>
      <c r="I102" t="str">
        <f t="shared" si="3"/>
        <v>ステータス上昇（）</v>
      </c>
    </row>
    <row r="103" spans="1:9" x14ac:dyDescent="0.25">
      <c r="A103" s="11">
        <v>101</v>
      </c>
      <c r="B103" s="12">
        <f>VLOOKUP(I103,Sheet3!C:D,2,FALSE)</f>
        <v>8</v>
      </c>
      <c r="C103" s="22" t="s">
        <v>195</v>
      </c>
      <c r="D103" s="22">
        <v>807</v>
      </c>
      <c r="E103" s="11">
        <f t="shared" si="2"/>
        <v>101</v>
      </c>
      <c r="G103" s="22" t="s">
        <v>102</v>
      </c>
      <c r="H103" s="23"/>
      <c r="I103" t="str">
        <f t="shared" si="3"/>
        <v>ステータス上昇（）</v>
      </c>
    </row>
    <row r="104" spans="1:9" x14ac:dyDescent="0.25">
      <c r="A104" s="11">
        <v>102</v>
      </c>
      <c r="B104" s="12">
        <f>VLOOKUP(I104,Sheet3!C:D,2,FALSE)</f>
        <v>8</v>
      </c>
      <c r="C104" s="22" t="s">
        <v>196</v>
      </c>
      <c r="D104" s="22">
        <v>808</v>
      </c>
      <c r="E104" s="11">
        <f t="shared" si="2"/>
        <v>102</v>
      </c>
      <c r="G104" s="22" t="s">
        <v>102</v>
      </c>
      <c r="H104" s="23"/>
      <c r="I104" t="str">
        <f t="shared" si="3"/>
        <v>ステータス上昇（）</v>
      </c>
    </row>
    <row r="105" spans="1:9" x14ac:dyDescent="0.25">
      <c r="A105" s="11">
        <v>103</v>
      </c>
      <c r="B105" s="12">
        <f>VLOOKUP(I105,Sheet3!C:D,2,FALSE)</f>
        <v>8</v>
      </c>
      <c r="C105" s="22" t="s">
        <v>192</v>
      </c>
      <c r="D105" s="22">
        <v>809</v>
      </c>
      <c r="E105" s="11">
        <f t="shared" si="2"/>
        <v>103</v>
      </c>
      <c r="G105" s="22" t="s">
        <v>102</v>
      </c>
      <c r="H105" s="23"/>
      <c r="I105" t="str">
        <f t="shared" si="3"/>
        <v>ステータス上昇（）</v>
      </c>
    </row>
    <row r="106" spans="1:9" x14ac:dyDescent="0.25">
      <c r="A106" s="11">
        <v>104</v>
      </c>
      <c r="B106" s="12">
        <f>VLOOKUP(I106,Sheet3!C:D,2,FALSE)</f>
        <v>8</v>
      </c>
      <c r="C106" s="22" t="s">
        <v>194</v>
      </c>
      <c r="D106" s="22">
        <v>810</v>
      </c>
      <c r="E106" s="11">
        <f t="shared" si="2"/>
        <v>104</v>
      </c>
      <c r="G106" s="22" t="s">
        <v>102</v>
      </c>
      <c r="H106" s="23"/>
      <c r="I106" t="str">
        <f t="shared" si="3"/>
        <v>ステータス上昇（）</v>
      </c>
    </row>
    <row r="107" spans="1:9" x14ac:dyDescent="0.25">
      <c r="A107" s="11">
        <v>105</v>
      </c>
      <c r="B107" s="12">
        <f>VLOOKUP(I107,Sheet3!C:D,2,FALSE)</f>
        <v>8</v>
      </c>
      <c r="C107" s="22" t="s">
        <v>193</v>
      </c>
      <c r="D107" s="22">
        <v>811</v>
      </c>
      <c r="E107" s="11">
        <f t="shared" si="2"/>
        <v>105</v>
      </c>
      <c r="G107" s="22" t="s">
        <v>102</v>
      </c>
      <c r="H107" s="23"/>
      <c r="I107" t="str">
        <f t="shared" si="3"/>
        <v>ステータス上昇（）</v>
      </c>
    </row>
    <row r="108" spans="1:9" s="10" customFormat="1" x14ac:dyDescent="0.25">
      <c r="A108" s="11">
        <v>106</v>
      </c>
      <c r="B108" s="12">
        <f>VLOOKUP(I108,Sheet3!C:D,2,FALSE)</f>
        <v>8</v>
      </c>
      <c r="C108" s="22" t="s">
        <v>348</v>
      </c>
      <c r="D108" s="22">
        <v>812</v>
      </c>
      <c r="E108" s="11">
        <f t="shared" si="2"/>
        <v>106</v>
      </c>
      <c r="G108" s="22" t="s">
        <v>102</v>
      </c>
      <c r="H108" s="23"/>
      <c r="I108" t="str">
        <f t="shared" si="3"/>
        <v>ステータス上昇（）</v>
      </c>
    </row>
    <row r="109" spans="1:9" x14ac:dyDescent="0.25">
      <c r="A109" s="11">
        <v>107</v>
      </c>
      <c r="B109" s="12">
        <f>VLOOKUP(I109,Sheet3!C:D,2,FALSE)</f>
        <v>9</v>
      </c>
      <c r="C109" s="22" t="s">
        <v>198</v>
      </c>
      <c r="D109" s="22">
        <v>901</v>
      </c>
      <c r="E109" s="11">
        <f t="shared" si="2"/>
        <v>107</v>
      </c>
      <c r="G109" s="22" t="s">
        <v>197</v>
      </c>
      <c r="H109" s="23"/>
      <c r="I109" t="str">
        <f t="shared" si="3"/>
        <v>ステータス低下（）</v>
      </c>
    </row>
    <row r="110" spans="1:9" x14ac:dyDescent="0.25">
      <c r="A110" s="11">
        <v>108</v>
      </c>
      <c r="B110" s="12">
        <f>VLOOKUP(I110,Sheet3!C:D,2,FALSE)</f>
        <v>9</v>
      </c>
      <c r="C110" s="22" t="s">
        <v>199</v>
      </c>
      <c r="D110" s="22">
        <v>902</v>
      </c>
      <c r="E110" s="11">
        <f t="shared" si="2"/>
        <v>108</v>
      </c>
      <c r="G110" s="22" t="s">
        <v>197</v>
      </c>
      <c r="H110" s="23"/>
      <c r="I110" t="str">
        <f t="shared" si="3"/>
        <v>ステータス低下（）</v>
      </c>
    </row>
    <row r="111" spans="1:9" x14ac:dyDescent="0.25">
      <c r="A111" s="11">
        <v>109</v>
      </c>
      <c r="B111" s="12">
        <f>VLOOKUP(I111,Sheet3!C:D,2,FALSE)</f>
        <v>9</v>
      </c>
      <c r="C111" s="22" t="s">
        <v>340</v>
      </c>
      <c r="D111" s="22">
        <v>903</v>
      </c>
      <c r="E111" s="11">
        <f t="shared" si="2"/>
        <v>109</v>
      </c>
      <c r="G111" s="22" t="s">
        <v>197</v>
      </c>
      <c r="H111" s="23"/>
      <c r="I111" t="str">
        <f t="shared" si="3"/>
        <v>ステータス低下（）</v>
      </c>
    </row>
    <row r="112" spans="1:9" x14ac:dyDescent="0.25">
      <c r="A112" s="11">
        <v>110</v>
      </c>
      <c r="B112" s="12">
        <f>VLOOKUP(I112,Sheet3!C:D,2,FALSE)</f>
        <v>9</v>
      </c>
      <c r="C112" s="22" t="s">
        <v>200</v>
      </c>
      <c r="D112" s="22">
        <v>904</v>
      </c>
      <c r="E112" s="11">
        <f t="shared" si="2"/>
        <v>110</v>
      </c>
      <c r="G112" s="22" t="s">
        <v>197</v>
      </c>
      <c r="H112" s="23"/>
      <c r="I112" t="str">
        <f t="shared" si="3"/>
        <v>ステータス低下（）</v>
      </c>
    </row>
    <row r="113" spans="1:9" x14ac:dyDescent="0.25">
      <c r="A113" s="11">
        <v>111</v>
      </c>
      <c r="B113" s="12">
        <f>VLOOKUP(I113,Sheet3!C:D,2,FALSE)</f>
        <v>9</v>
      </c>
      <c r="C113" s="22" t="s">
        <v>201</v>
      </c>
      <c r="D113" s="22">
        <v>905</v>
      </c>
      <c r="E113" s="11">
        <f t="shared" si="2"/>
        <v>111</v>
      </c>
      <c r="G113" s="22" t="s">
        <v>197</v>
      </c>
      <c r="H113" s="23"/>
      <c r="I113" t="str">
        <f t="shared" si="3"/>
        <v>ステータス低下（）</v>
      </c>
    </row>
    <row r="114" spans="1:9" x14ac:dyDescent="0.25">
      <c r="A114" s="11">
        <v>112</v>
      </c>
      <c r="B114" s="12">
        <f>VLOOKUP(I114,Sheet3!C:D,2,FALSE)</f>
        <v>9</v>
      </c>
      <c r="C114" s="22" t="s">
        <v>341</v>
      </c>
      <c r="D114" s="22">
        <v>906</v>
      </c>
      <c r="E114" s="11">
        <f t="shared" si="2"/>
        <v>112</v>
      </c>
      <c r="G114" s="22" t="s">
        <v>197</v>
      </c>
      <c r="H114" s="23"/>
      <c r="I114" t="str">
        <f t="shared" si="3"/>
        <v>ステータス低下（）</v>
      </c>
    </row>
    <row r="115" spans="1:9" x14ac:dyDescent="0.25">
      <c r="A115" s="11">
        <v>113</v>
      </c>
      <c r="B115" s="12">
        <f>VLOOKUP(I115,Sheet3!C:D,2,FALSE)</f>
        <v>9</v>
      </c>
      <c r="C115" s="22" t="s">
        <v>202</v>
      </c>
      <c r="D115" s="22">
        <v>907</v>
      </c>
      <c r="E115" s="11">
        <f t="shared" si="2"/>
        <v>113</v>
      </c>
      <c r="G115" s="22" t="s">
        <v>197</v>
      </c>
      <c r="H115" s="23"/>
      <c r="I115" t="str">
        <f t="shared" si="3"/>
        <v>ステータス低下（）</v>
      </c>
    </row>
    <row r="116" spans="1:9" x14ac:dyDescent="0.25">
      <c r="A116" s="11">
        <v>114</v>
      </c>
      <c r="B116" s="12">
        <f>VLOOKUP(I116,Sheet3!C:D,2,FALSE)</f>
        <v>9</v>
      </c>
      <c r="C116" s="22" t="s">
        <v>203</v>
      </c>
      <c r="D116" s="22">
        <v>908</v>
      </c>
      <c r="E116" s="11">
        <f t="shared" si="2"/>
        <v>114</v>
      </c>
      <c r="G116" s="22" t="s">
        <v>197</v>
      </c>
      <c r="H116" s="23"/>
      <c r="I116" t="str">
        <f t="shared" si="3"/>
        <v>ステータス低下（）</v>
      </c>
    </row>
    <row r="117" spans="1:9" x14ac:dyDescent="0.25">
      <c r="A117" s="11">
        <v>115</v>
      </c>
      <c r="B117" s="12">
        <f>VLOOKUP(I117,Sheet3!C:D,2,FALSE)</f>
        <v>9</v>
      </c>
      <c r="C117" s="22" t="s">
        <v>204</v>
      </c>
      <c r="D117" s="22">
        <v>909</v>
      </c>
      <c r="E117" s="11">
        <f t="shared" si="2"/>
        <v>115</v>
      </c>
      <c r="G117" s="22" t="s">
        <v>197</v>
      </c>
      <c r="H117" s="23"/>
      <c r="I117" t="str">
        <f t="shared" si="3"/>
        <v>ステータス低下（）</v>
      </c>
    </row>
    <row r="118" spans="1:9" x14ac:dyDescent="0.25">
      <c r="A118" s="11">
        <v>116</v>
      </c>
      <c r="B118" s="12">
        <f>VLOOKUP(I118,Sheet3!C:D,2,FALSE)</f>
        <v>9</v>
      </c>
      <c r="C118" s="22" t="s">
        <v>205</v>
      </c>
      <c r="D118" s="22">
        <v>910</v>
      </c>
      <c r="E118" s="11">
        <f t="shared" si="2"/>
        <v>116</v>
      </c>
      <c r="G118" s="22" t="s">
        <v>197</v>
      </c>
      <c r="H118" s="23"/>
      <c r="I118" t="str">
        <f t="shared" si="3"/>
        <v>ステータス低下（）</v>
      </c>
    </row>
    <row r="119" spans="1:9" x14ac:dyDescent="0.25">
      <c r="A119" s="11">
        <v>117</v>
      </c>
      <c r="B119" s="12">
        <f>VLOOKUP(I119,Sheet3!C:D,2,FALSE)</f>
        <v>9</v>
      </c>
      <c r="C119" s="22" t="s">
        <v>206</v>
      </c>
      <c r="D119" s="22">
        <v>911</v>
      </c>
      <c r="E119" s="11">
        <f t="shared" si="2"/>
        <v>117</v>
      </c>
      <c r="G119" s="22" t="s">
        <v>197</v>
      </c>
      <c r="H119" s="23"/>
      <c r="I119" t="str">
        <f t="shared" si="3"/>
        <v>ステータス低下（）</v>
      </c>
    </row>
    <row r="120" spans="1:9" x14ac:dyDescent="0.25">
      <c r="A120" s="11">
        <v>118</v>
      </c>
      <c r="B120" s="12">
        <f>VLOOKUP(I120,Sheet3!C:D,2,FALSE)</f>
        <v>51</v>
      </c>
      <c r="C120" s="22" t="s">
        <v>240</v>
      </c>
      <c r="D120" s="22">
        <v>5101</v>
      </c>
      <c r="E120" s="11">
        <f t="shared" si="2"/>
        <v>118</v>
      </c>
      <c r="G120" s="22" t="s">
        <v>104</v>
      </c>
      <c r="H120" s="24" t="s">
        <v>12</v>
      </c>
      <c r="I120" t="str">
        <f t="shared" si="3"/>
        <v>解除（特殊攻撃）</v>
      </c>
    </row>
    <row r="121" spans="1:9" x14ac:dyDescent="0.25">
      <c r="A121" s="11">
        <v>119</v>
      </c>
      <c r="B121" s="12">
        <f>VLOOKUP(I121,Sheet3!C:D,2,FALSE)</f>
        <v>52</v>
      </c>
      <c r="C121" s="22" t="s">
        <v>241</v>
      </c>
      <c r="D121" s="22">
        <v>5201</v>
      </c>
      <c r="E121" s="11">
        <f t="shared" si="2"/>
        <v>119</v>
      </c>
      <c r="G121" s="22" t="s">
        <v>104</v>
      </c>
      <c r="H121" s="22" t="s">
        <v>131</v>
      </c>
      <c r="I121" t="str">
        <f t="shared" si="3"/>
        <v>解除（特殊状態）</v>
      </c>
    </row>
    <row r="122" spans="1:9" x14ac:dyDescent="0.25">
      <c r="A122" s="11">
        <v>120</v>
      </c>
      <c r="B122" s="12">
        <f>VLOOKUP(I122,Sheet3!C:D,2,FALSE)</f>
        <v>52</v>
      </c>
      <c r="C122" s="22" t="s">
        <v>242</v>
      </c>
      <c r="D122" s="22">
        <v>5202</v>
      </c>
      <c r="E122" s="11">
        <f t="shared" si="2"/>
        <v>120</v>
      </c>
      <c r="G122" s="22" t="s">
        <v>104</v>
      </c>
      <c r="H122" s="22" t="s">
        <v>131</v>
      </c>
      <c r="I122" t="str">
        <f t="shared" si="3"/>
        <v>解除（特殊状態）</v>
      </c>
    </row>
    <row r="123" spans="1:9" x14ac:dyDescent="0.25">
      <c r="A123" s="11">
        <v>121</v>
      </c>
      <c r="B123" s="12">
        <f>VLOOKUP(I123,Sheet3!C:D,2,FALSE)</f>
        <v>52</v>
      </c>
      <c r="C123" s="22" t="s">
        <v>216</v>
      </c>
      <c r="D123" s="22">
        <v>5203</v>
      </c>
      <c r="E123" s="11">
        <f t="shared" si="2"/>
        <v>121</v>
      </c>
      <c r="G123" s="22" t="s">
        <v>104</v>
      </c>
      <c r="H123" s="22" t="s">
        <v>131</v>
      </c>
      <c r="I123" t="str">
        <f t="shared" si="3"/>
        <v>解除（特殊状態）</v>
      </c>
    </row>
    <row r="124" spans="1:9" x14ac:dyDescent="0.25">
      <c r="A124" s="11">
        <v>122</v>
      </c>
      <c r="B124" s="12">
        <f>VLOOKUP(I124,Sheet3!C:D,2,FALSE)</f>
        <v>52</v>
      </c>
      <c r="C124" s="22" t="s">
        <v>243</v>
      </c>
      <c r="D124" s="22">
        <v>5204</v>
      </c>
      <c r="E124" s="11">
        <f t="shared" si="2"/>
        <v>122</v>
      </c>
      <c r="G124" s="22" t="s">
        <v>104</v>
      </c>
      <c r="H124" s="22" t="s">
        <v>131</v>
      </c>
      <c r="I124" t="str">
        <f t="shared" si="3"/>
        <v>解除（特殊状態）</v>
      </c>
    </row>
    <row r="125" spans="1:9" x14ac:dyDescent="0.25">
      <c r="A125" s="11">
        <v>123</v>
      </c>
      <c r="B125" s="12">
        <f>VLOOKUP(I125,Sheet3!C:D,2,FALSE)</f>
        <v>52</v>
      </c>
      <c r="C125" s="22" t="s">
        <v>247</v>
      </c>
      <c r="D125" s="22">
        <v>5205</v>
      </c>
      <c r="E125" s="11">
        <f t="shared" si="2"/>
        <v>123</v>
      </c>
      <c r="G125" s="22" t="s">
        <v>104</v>
      </c>
      <c r="H125" s="22" t="s">
        <v>131</v>
      </c>
      <c r="I125" t="str">
        <f t="shared" si="3"/>
        <v>解除（特殊状態）</v>
      </c>
    </row>
    <row r="126" spans="1:9" x14ac:dyDescent="0.25">
      <c r="A126" s="11">
        <v>124</v>
      </c>
      <c r="B126" s="12">
        <f>VLOOKUP(I126,Sheet3!C:D,2,FALSE)</f>
        <v>52</v>
      </c>
      <c r="C126" s="22" t="s">
        <v>248</v>
      </c>
      <c r="D126" s="22">
        <v>5206</v>
      </c>
      <c r="E126" s="11">
        <f t="shared" si="2"/>
        <v>124</v>
      </c>
      <c r="G126" s="22" t="s">
        <v>104</v>
      </c>
      <c r="H126" s="22" t="s">
        <v>131</v>
      </c>
      <c r="I126" t="str">
        <f t="shared" si="3"/>
        <v>解除（特殊状態）</v>
      </c>
    </row>
    <row r="127" spans="1:9" x14ac:dyDescent="0.25">
      <c r="A127" s="11">
        <v>125</v>
      </c>
      <c r="B127" s="12">
        <f>VLOOKUP(I127,Sheet3!C:D,2,FALSE)</f>
        <v>52</v>
      </c>
      <c r="C127" s="22" t="s">
        <v>244</v>
      </c>
      <c r="D127" s="22">
        <v>5207</v>
      </c>
      <c r="E127" s="11">
        <f t="shared" si="2"/>
        <v>125</v>
      </c>
      <c r="G127" s="22" t="s">
        <v>104</v>
      </c>
      <c r="H127" s="22" t="s">
        <v>131</v>
      </c>
      <c r="I127" t="str">
        <f t="shared" si="3"/>
        <v>解除（特殊状態）</v>
      </c>
    </row>
    <row r="128" spans="1:9" x14ac:dyDescent="0.25">
      <c r="A128" s="11">
        <v>126</v>
      </c>
      <c r="B128" s="12">
        <f>VLOOKUP(I128,Sheet3!C:D,2,FALSE)</f>
        <v>52</v>
      </c>
      <c r="C128" s="22" t="s">
        <v>245</v>
      </c>
      <c r="D128" s="22">
        <v>5208</v>
      </c>
      <c r="E128" s="11">
        <f t="shared" si="2"/>
        <v>126</v>
      </c>
      <c r="G128" s="22" t="s">
        <v>104</v>
      </c>
      <c r="H128" s="22" t="s">
        <v>131</v>
      </c>
      <c r="I128" t="str">
        <f t="shared" si="3"/>
        <v>解除（特殊状態）</v>
      </c>
    </row>
    <row r="129" spans="1:9" x14ac:dyDescent="0.25">
      <c r="A129" s="11">
        <v>127</v>
      </c>
      <c r="B129" s="12">
        <f>VLOOKUP(I129,Sheet3!C:D,2,FALSE)</f>
        <v>52</v>
      </c>
      <c r="C129" s="22" t="s">
        <v>273</v>
      </c>
      <c r="D129" s="22">
        <v>5209</v>
      </c>
      <c r="E129" s="11">
        <f t="shared" si="2"/>
        <v>127</v>
      </c>
      <c r="G129" s="22" t="s">
        <v>104</v>
      </c>
      <c r="H129" s="22" t="s">
        <v>131</v>
      </c>
      <c r="I129" t="str">
        <f t="shared" si="3"/>
        <v>解除（特殊状態）</v>
      </c>
    </row>
    <row r="130" spans="1:9" x14ac:dyDescent="0.25">
      <c r="A130" s="11">
        <v>128</v>
      </c>
      <c r="B130" s="12">
        <f>VLOOKUP(I130,Sheet3!C:D,2,FALSE)</f>
        <v>52</v>
      </c>
      <c r="C130" s="22" t="s">
        <v>217</v>
      </c>
      <c r="D130" s="22">
        <v>5210</v>
      </c>
      <c r="E130" s="11">
        <f t="shared" si="2"/>
        <v>128</v>
      </c>
      <c r="G130" s="22" t="s">
        <v>104</v>
      </c>
      <c r="H130" s="22" t="s">
        <v>131</v>
      </c>
      <c r="I130" t="str">
        <f t="shared" si="3"/>
        <v>解除（特殊状態）</v>
      </c>
    </row>
    <row r="131" spans="1:9" x14ac:dyDescent="0.25">
      <c r="A131" s="11">
        <v>129</v>
      </c>
      <c r="B131" s="12">
        <f>VLOOKUP(I131,Sheet3!C:D,2,FALSE)</f>
        <v>52</v>
      </c>
      <c r="C131" s="22" t="s">
        <v>218</v>
      </c>
      <c r="D131" s="22">
        <v>5211</v>
      </c>
      <c r="E131" s="11">
        <f t="shared" si="2"/>
        <v>129</v>
      </c>
      <c r="G131" s="22" t="s">
        <v>104</v>
      </c>
      <c r="H131" s="22" t="s">
        <v>131</v>
      </c>
      <c r="I131" t="str">
        <f t="shared" si="3"/>
        <v>解除（特殊状態）</v>
      </c>
    </row>
    <row r="132" spans="1:9" x14ac:dyDescent="0.25">
      <c r="A132" s="11">
        <v>130</v>
      </c>
      <c r="B132" s="12">
        <f>VLOOKUP(I132,Sheet3!C:D,2,FALSE)</f>
        <v>52</v>
      </c>
      <c r="C132" s="22" t="s">
        <v>246</v>
      </c>
      <c r="D132" s="22">
        <v>5212</v>
      </c>
      <c r="E132" s="11">
        <f t="shared" ref="E132:E195" si="4">A132</f>
        <v>130</v>
      </c>
      <c r="G132" s="22" t="s">
        <v>104</v>
      </c>
      <c r="H132" s="22" t="s">
        <v>131</v>
      </c>
      <c r="I132" t="str">
        <f t="shared" ref="I132:I195" si="5">G132&amp;"（"&amp;H132&amp;"）"</f>
        <v>解除（特殊状態）</v>
      </c>
    </row>
    <row r="133" spans="1:9" x14ac:dyDescent="0.25">
      <c r="A133" s="11">
        <v>131</v>
      </c>
      <c r="B133" s="12">
        <f>VLOOKUP(I133,Sheet3!C:D,2,FALSE)</f>
        <v>52</v>
      </c>
      <c r="C133" s="22" t="s">
        <v>221</v>
      </c>
      <c r="D133" s="22">
        <v>5213</v>
      </c>
      <c r="E133" s="11">
        <f t="shared" si="4"/>
        <v>131</v>
      </c>
      <c r="G133" s="22" t="s">
        <v>104</v>
      </c>
      <c r="H133" s="22" t="s">
        <v>131</v>
      </c>
      <c r="I133" t="str">
        <f t="shared" si="5"/>
        <v>解除（特殊状態）</v>
      </c>
    </row>
    <row r="134" spans="1:9" x14ac:dyDescent="0.25">
      <c r="A134" s="11">
        <v>132</v>
      </c>
      <c r="B134" s="12">
        <f>VLOOKUP(I134,Sheet3!C:D,2,FALSE)</f>
        <v>52</v>
      </c>
      <c r="C134" s="22" t="s">
        <v>215</v>
      </c>
      <c r="D134" s="22">
        <v>5214</v>
      </c>
      <c r="E134" s="11">
        <f t="shared" si="4"/>
        <v>132</v>
      </c>
      <c r="G134" s="22" t="s">
        <v>104</v>
      </c>
      <c r="H134" s="22" t="s">
        <v>131</v>
      </c>
      <c r="I134" t="str">
        <f t="shared" si="5"/>
        <v>解除（特殊状態）</v>
      </c>
    </row>
    <row r="135" spans="1:9" x14ac:dyDescent="0.25">
      <c r="A135" s="11">
        <v>133</v>
      </c>
      <c r="B135" s="12">
        <f>VLOOKUP(I135,Sheet3!C:D,2,FALSE)</f>
        <v>52</v>
      </c>
      <c r="C135" s="22" t="s">
        <v>249</v>
      </c>
      <c r="D135" s="22">
        <v>5215</v>
      </c>
      <c r="E135" s="11">
        <f t="shared" si="4"/>
        <v>133</v>
      </c>
      <c r="G135" s="22" t="s">
        <v>104</v>
      </c>
      <c r="H135" s="22" t="s">
        <v>131</v>
      </c>
      <c r="I135" t="str">
        <f t="shared" si="5"/>
        <v>解除（特殊状態）</v>
      </c>
    </row>
    <row r="136" spans="1:9" x14ac:dyDescent="0.25">
      <c r="A136" s="11">
        <v>134</v>
      </c>
      <c r="B136" s="12">
        <f>VLOOKUP(I136,Sheet3!C:D,2,FALSE)</f>
        <v>52</v>
      </c>
      <c r="C136" s="22" t="s">
        <v>250</v>
      </c>
      <c r="D136" s="22">
        <v>5216</v>
      </c>
      <c r="E136" s="11">
        <f t="shared" si="4"/>
        <v>134</v>
      </c>
      <c r="G136" s="22" t="s">
        <v>104</v>
      </c>
      <c r="H136" s="22" t="s">
        <v>131</v>
      </c>
      <c r="I136" t="str">
        <f t="shared" si="5"/>
        <v>解除（特殊状態）</v>
      </c>
    </row>
    <row r="137" spans="1:9" x14ac:dyDescent="0.25">
      <c r="A137" s="11">
        <v>135</v>
      </c>
      <c r="B137" s="12">
        <f>VLOOKUP(I137,Sheet3!C:D,2,FALSE)</f>
        <v>52</v>
      </c>
      <c r="C137" s="22" t="s">
        <v>251</v>
      </c>
      <c r="D137" s="22">
        <v>5217</v>
      </c>
      <c r="E137" s="11">
        <f t="shared" si="4"/>
        <v>135</v>
      </c>
      <c r="G137" s="22" t="s">
        <v>104</v>
      </c>
      <c r="H137" s="22" t="s">
        <v>131</v>
      </c>
      <c r="I137" t="str">
        <f t="shared" si="5"/>
        <v>解除（特殊状態）</v>
      </c>
    </row>
    <row r="138" spans="1:9" x14ac:dyDescent="0.25">
      <c r="A138" s="11">
        <v>136</v>
      </c>
      <c r="B138" s="12">
        <f>VLOOKUP(I138,Sheet3!C:D,2,FALSE)</f>
        <v>52</v>
      </c>
      <c r="C138" s="22" t="s">
        <v>256</v>
      </c>
      <c r="D138" s="22">
        <v>5218</v>
      </c>
      <c r="E138" s="11">
        <f t="shared" si="4"/>
        <v>136</v>
      </c>
      <c r="G138" s="22" t="s">
        <v>104</v>
      </c>
      <c r="H138" s="22" t="s">
        <v>131</v>
      </c>
      <c r="I138" t="str">
        <f t="shared" si="5"/>
        <v>解除（特殊状態）</v>
      </c>
    </row>
    <row r="139" spans="1:9" x14ac:dyDescent="0.25">
      <c r="A139" s="11">
        <v>137</v>
      </c>
      <c r="B139" s="12">
        <f>VLOOKUP(I139,Sheet3!C:D,2,FALSE)</f>
        <v>52</v>
      </c>
      <c r="C139" s="22" t="s">
        <v>253</v>
      </c>
      <c r="D139" s="22">
        <v>5219</v>
      </c>
      <c r="E139" s="11">
        <f t="shared" si="4"/>
        <v>137</v>
      </c>
      <c r="G139" s="22" t="s">
        <v>104</v>
      </c>
      <c r="H139" s="22" t="s">
        <v>131</v>
      </c>
      <c r="I139" t="str">
        <f t="shared" si="5"/>
        <v>解除（特殊状態）</v>
      </c>
    </row>
    <row r="140" spans="1:9" x14ac:dyDescent="0.25">
      <c r="A140" s="11">
        <v>138</v>
      </c>
      <c r="B140" s="12">
        <f>VLOOKUP(I140,Sheet3!C:D,2,FALSE)</f>
        <v>52</v>
      </c>
      <c r="C140" s="22" t="s">
        <v>271</v>
      </c>
      <c r="D140" s="22">
        <v>5220</v>
      </c>
      <c r="E140" s="11">
        <f t="shared" si="4"/>
        <v>138</v>
      </c>
      <c r="G140" s="22" t="s">
        <v>104</v>
      </c>
      <c r="H140" s="22" t="s">
        <v>131</v>
      </c>
      <c r="I140" t="str">
        <f t="shared" si="5"/>
        <v>解除（特殊状態）</v>
      </c>
    </row>
    <row r="141" spans="1:9" x14ac:dyDescent="0.25">
      <c r="A141" s="11">
        <v>139</v>
      </c>
      <c r="B141" s="12">
        <f>VLOOKUP(I141,Sheet3!C:D,2,FALSE)</f>
        <v>52</v>
      </c>
      <c r="C141" s="22" t="s">
        <v>257</v>
      </c>
      <c r="D141" s="22">
        <v>5221</v>
      </c>
      <c r="E141" s="11">
        <f t="shared" si="4"/>
        <v>139</v>
      </c>
      <c r="G141" s="22" t="s">
        <v>104</v>
      </c>
      <c r="H141" s="22" t="s">
        <v>131</v>
      </c>
      <c r="I141" t="str">
        <f t="shared" si="5"/>
        <v>解除（特殊状態）</v>
      </c>
    </row>
    <row r="142" spans="1:9" x14ac:dyDescent="0.25">
      <c r="A142" s="11">
        <v>140</v>
      </c>
      <c r="B142" s="12">
        <f>VLOOKUP(I142,Sheet3!C:D,2,FALSE)</f>
        <v>52</v>
      </c>
      <c r="C142" s="22" t="s">
        <v>258</v>
      </c>
      <c r="D142" s="22">
        <v>5222</v>
      </c>
      <c r="E142" s="11">
        <f t="shared" si="4"/>
        <v>140</v>
      </c>
      <c r="G142" s="22" t="s">
        <v>104</v>
      </c>
      <c r="H142" s="22" t="s">
        <v>131</v>
      </c>
      <c r="I142" t="str">
        <f t="shared" si="5"/>
        <v>解除（特殊状態）</v>
      </c>
    </row>
    <row r="143" spans="1:9" x14ac:dyDescent="0.25">
      <c r="A143" s="11">
        <v>141</v>
      </c>
      <c r="B143" s="12">
        <f>VLOOKUP(I143,Sheet3!C:D,2,FALSE)</f>
        <v>52</v>
      </c>
      <c r="C143" s="22" t="s">
        <v>259</v>
      </c>
      <c r="D143" s="22">
        <v>5223</v>
      </c>
      <c r="E143" s="11">
        <f t="shared" si="4"/>
        <v>141</v>
      </c>
      <c r="G143" s="22" t="s">
        <v>104</v>
      </c>
      <c r="H143" s="22" t="s">
        <v>131</v>
      </c>
      <c r="I143" t="str">
        <f t="shared" si="5"/>
        <v>解除（特殊状態）</v>
      </c>
    </row>
    <row r="144" spans="1:9" x14ac:dyDescent="0.25">
      <c r="A144" s="11">
        <v>142</v>
      </c>
      <c r="B144" s="12">
        <f>VLOOKUP(I144,Sheet3!C:D,2,FALSE)</f>
        <v>52</v>
      </c>
      <c r="C144" s="22" t="s">
        <v>260</v>
      </c>
      <c r="D144" s="22">
        <v>5224</v>
      </c>
      <c r="E144" s="11">
        <f t="shared" si="4"/>
        <v>142</v>
      </c>
      <c r="G144" s="22" t="s">
        <v>104</v>
      </c>
      <c r="H144" s="22" t="s">
        <v>131</v>
      </c>
      <c r="I144" t="str">
        <f t="shared" si="5"/>
        <v>解除（特殊状態）</v>
      </c>
    </row>
    <row r="145" spans="1:9" x14ac:dyDescent="0.25">
      <c r="A145" s="11">
        <v>143</v>
      </c>
      <c r="B145" s="12">
        <f>VLOOKUP(I145,Sheet3!C:D,2,FALSE)</f>
        <v>52</v>
      </c>
      <c r="C145" s="22" t="s">
        <v>272</v>
      </c>
      <c r="D145" s="22">
        <v>5225</v>
      </c>
      <c r="E145" s="11">
        <f t="shared" si="4"/>
        <v>143</v>
      </c>
      <c r="G145" s="22" t="s">
        <v>104</v>
      </c>
      <c r="H145" s="22" t="s">
        <v>131</v>
      </c>
      <c r="I145" t="str">
        <f t="shared" si="5"/>
        <v>解除（特殊状態）</v>
      </c>
    </row>
    <row r="146" spans="1:9" x14ac:dyDescent="0.25">
      <c r="A146" s="11">
        <v>144</v>
      </c>
      <c r="B146" s="12">
        <f>VLOOKUP(I146,Sheet3!C:D,2,FALSE)</f>
        <v>52</v>
      </c>
      <c r="C146" s="22" t="s">
        <v>261</v>
      </c>
      <c r="D146" s="22">
        <v>5226</v>
      </c>
      <c r="E146" s="11">
        <f t="shared" si="4"/>
        <v>144</v>
      </c>
      <c r="G146" s="22" t="s">
        <v>104</v>
      </c>
      <c r="H146" s="22" t="s">
        <v>131</v>
      </c>
      <c r="I146" t="str">
        <f t="shared" si="5"/>
        <v>解除（特殊状態）</v>
      </c>
    </row>
    <row r="147" spans="1:9" x14ac:dyDescent="0.25">
      <c r="A147" s="11">
        <v>145</v>
      </c>
      <c r="B147" s="12">
        <f>VLOOKUP(I147,Sheet3!C:D,2,FALSE)</f>
        <v>52</v>
      </c>
      <c r="C147" s="22" t="s">
        <v>262</v>
      </c>
      <c r="D147" s="22">
        <v>5227</v>
      </c>
      <c r="E147" s="11">
        <f t="shared" si="4"/>
        <v>145</v>
      </c>
      <c r="G147" s="22" t="s">
        <v>104</v>
      </c>
      <c r="H147" s="22" t="s">
        <v>131</v>
      </c>
      <c r="I147" t="str">
        <f t="shared" si="5"/>
        <v>解除（特殊状態）</v>
      </c>
    </row>
    <row r="148" spans="1:9" x14ac:dyDescent="0.25">
      <c r="A148" s="11">
        <v>146</v>
      </c>
      <c r="B148" s="12">
        <f>VLOOKUP(I148,Sheet3!C:D,2,FALSE)</f>
        <v>52</v>
      </c>
      <c r="C148" s="22" t="s">
        <v>263</v>
      </c>
      <c r="D148" s="22">
        <v>5228</v>
      </c>
      <c r="E148" s="11">
        <f t="shared" si="4"/>
        <v>146</v>
      </c>
      <c r="G148" s="22" t="s">
        <v>104</v>
      </c>
      <c r="H148" s="22" t="s">
        <v>131</v>
      </c>
      <c r="I148" t="str">
        <f t="shared" si="5"/>
        <v>解除（特殊状態）</v>
      </c>
    </row>
    <row r="149" spans="1:9" x14ac:dyDescent="0.25">
      <c r="A149" s="11">
        <v>147</v>
      </c>
      <c r="B149" s="12">
        <f>VLOOKUP(I149,Sheet3!C:D,2,FALSE)</f>
        <v>52</v>
      </c>
      <c r="C149" s="22" t="s">
        <v>264</v>
      </c>
      <c r="D149" s="22">
        <v>5229</v>
      </c>
      <c r="E149" s="11">
        <f t="shared" si="4"/>
        <v>147</v>
      </c>
      <c r="G149" s="22" t="s">
        <v>104</v>
      </c>
      <c r="H149" s="22" t="s">
        <v>131</v>
      </c>
      <c r="I149" t="str">
        <f t="shared" si="5"/>
        <v>解除（特殊状態）</v>
      </c>
    </row>
    <row r="150" spans="1:9" x14ac:dyDescent="0.25">
      <c r="A150" s="11">
        <v>148</v>
      </c>
      <c r="B150" s="12">
        <f>VLOOKUP(I150,Sheet3!C:D,2,FALSE)</f>
        <v>52</v>
      </c>
      <c r="C150" s="22" t="s">
        <v>265</v>
      </c>
      <c r="D150" s="22">
        <v>5230</v>
      </c>
      <c r="E150" s="11">
        <f t="shared" si="4"/>
        <v>148</v>
      </c>
      <c r="G150" s="22" t="s">
        <v>104</v>
      </c>
      <c r="H150" s="22" t="s">
        <v>131</v>
      </c>
      <c r="I150" t="str">
        <f t="shared" si="5"/>
        <v>解除（特殊状態）</v>
      </c>
    </row>
    <row r="151" spans="1:9" x14ac:dyDescent="0.25">
      <c r="A151" s="11">
        <v>149</v>
      </c>
      <c r="B151" s="12">
        <f>VLOOKUP(I151,Sheet3!C:D,2,FALSE)</f>
        <v>52</v>
      </c>
      <c r="C151" s="22" t="s">
        <v>267</v>
      </c>
      <c r="D151" s="22">
        <v>5231</v>
      </c>
      <c r="E151" s="11">
        <f t="shared" si="4"/>
        <v>149</v>
      </c>
      <c r="G151" s="22" t="s">
        <v>104</v>
      </c>
      <c r="H151" s="22" t="s">
        <v>131</v>
      </c>
      <c r="I151" t="str">
        <f t="shared" si="5"/>
        <v>解除（特殊状態）</v>
      </c>
    </row>
    <row r="152" spans="1:9" x14ac:dyDescent="0.25">
      <c r="A152" s="11">
        <v>150</v>
      </c>
      <c r="B152" s="12">
        <f>VLOOKUP(I152,Sheet3!C:D,2,FALSE)</f>
        <v>52</v>
      </c>
      <c r="C152" s="22" t="s">
        <v>270</v>
      </c>
      <c r="D152" s="22">
        <v>5232</v>
      </c>
      <c r="E152" s="11">
        <f t="shared" si="4"/>
        <v>150</v>
      </c>
      <c r="G152" s="22" t="s">
        <v>104</v>
      </c>
      <c r="H152" s="22" t="s">
        <v>131</v>
      </c>
      <c r="I152" t="str">
        <f t="shared" si="5"/>
        <v>解除（特殊状態）</v>
      </c>
    </row>
    <row r="153" spans="1:9" x14ac:dyDescent="0.25">
      <c r="A153" s="11">
        <v>151</v>
      </c>
      <c r="B153" s="12">
        <f>VLOOKUP(I153,Sheet3!C:D,2,FALSE)</f>
        <v>52</v>
      </c>
      <c r="C153" s="22" t="s">
        <v>268</v>
      </c>
      <c r="D153" s="22">
        <v>5233</v>
      </c>
      <c r="E153" s="11">
        <f t="shared" si="4"/>
        <v>151</v>
      </c>
      <c r="G153" s="22" t="s">
        <v>104</v>
      </c>
      <c r="H153" s="22" t="s">
        <v>131</v>
      </c>
      <c r="I153" t="str">
        <f t="shared" si="5"/>
        <v>解除（特殊状態）</v>
      </c>
    </row>
    <row r="154" spans="1:9" x14ac:dyDescent="0.25">
      <c r="A154" s="11">
        <v>152</v>
      </c>
      <c r="B154" s="12">
        <f>VLOOKUP(I154,Sheet3!C:D,2,FALSE)</f>
        <v>52</v>
      </c>
      <c r="C154" s="22" t="s">
        <v>269</v>
      </c>
      <c r="D154" s="22">
        <v>5234</v>
      </c>
      <c r="E154" s="11">
        <f t="shared" si="4"/>
        <v>152</v>
      </c>
      <c r="G154" s="22" t="s">
        <v>104</v>
      </c>
      <c r="H154" s="22" t="s">
        <v>131</v>
      </c>
      <c r="I154" t="str">
        <f t="shared" si="5"/>
        <v>解除（特殊状態）</v>
      </c>
    </row>
    <row r="155" spans="1:9" x14ac:dyDescent="0.25">
      <c r="A155" s="11">
        <v>153</v>
      </c>
      <c r="B155" s="12">
        <f>VLOOKUP(I155,Sheet3!C:D,2,FALSE)</f>
        <v>52</v>
      </c>
      <c r="C155" s="22" t="s">
        <v>274</v>
      </c>
      <c r="D155" s="22">
        <v>5235</v>
      </c>
      <c r="E155" s="11">
        <f t="shared" si="4"/>
        <v>153</v>
      </c>
      <c r="G155" s="22" t="s">
        <v>104</v>
      </c>
      <c r="H155" s="22" t="s">
        <v>131</v>
      </c>
      <c r="I155" t="str">
        <f t="shared" si="5"/>
        <v>解除（特殊状態）</v>
      </c>
    </row>
    <row r="156" spans="1:9" x14ac:dyDescent="0.25">
      <c r="A156" s="11">
        <v>154</v>
      </c>
      <c r="B156" s="12">
        <f>VLOOKUP(I156,Sheet3!C:D,2,FALSE)</f>
        <v>52</v>
      </c>
      <c r="C156" s="22" t="s">
        <v>275</v>
      </c>
      <c r="D156" s="22">
        <v>5236</v>
      </c>
      <c r="E156" s="11">
        <f t="shared" si="4"/>
        <v>154</v>
      </c>
      <c r="G156" s="22" t="s">
        <v>104</v>
      </c>
      <c r="H156" s="22" t="s">
        <v>131</v>
      </c>
      <c r="I156" t="str">
        <f t="shared" si="5"/>
        <v>解除（特殊状態）</v>
      </c>
    </row>
    <row r="157" spans="1:9" x14ac:dyDescent="0.25">
      <c r="A157" s="11">
        <v>155</v>
      </c>
      <c r="B157" s="12">
        <f>VLOOKUP(I157,Sheet3!C:D,2,FALSE)</f>
        <v>52</v>
      </c>
      <c r="C157" s="22" t="s">
        <v>276</v>
      </c>
      <c r="D157" s="22">
        <v>5237</v>
      </c>
      <c r="E157" s="11">
        <f t="shared" si="4"/>
        <v>155</v>
      </c>
      <c r="G157" s="22" t="s">
        <v>104</v>
      </c>
      <c r="H157" s="22" t="s">
        <v>131</v>
      </c>
      <c r="I157" t="str">
        <f t="shared" si="5"/>
        <v>解除（特殊状態）</v>
      </c>
    </row>
    <row r="158" spans="1:9" x14ac:dyDescent="0.25">
      <c r="A158" s="11">
        <v>156</v>
      </c>
      <c r="B158" s="12">
        <f>VLOOKUP(I158,Sheet3!C:D,2,FALSE)</f>
        <v>53</v>
      </c>
      <c r="C158" s="22" t="s">
        <v>349</v>
      </c>
      <c r="D158" s="22">
        <v>5301</v>
      </c>
      <c r="E158" s="11">
        <f t="shared" si="4"/>
        <v>156</v>
      </c>
      <c r="G158" s="22" t="s">
        <v>104</v>
      </c>
      <c r="H158" s="23" t="s">
        <v>5</v>
      </c>
      <c r="I158" t="str">
        <f>G158&amp;"（"&amp;H158&amp;"）"</f>
        <v>解除（状態異常）</v>
      </c>
    </row>
    <row r="159" spans="1:9" x14ac:dyDescent="0.25">
      <c r="A159" s="11">
        <v>157</v>
      </c>
      <c r="B159" s="12">
        <f>VLOOKUP(I159,Sheet3!C:D,2,FALSE)</f>
        <v>53</v>
      </c>
      <c r="C159" s="22" t="s">
        <v>350</v>
      </c>
      <c r="D159" s="22">
        <v>5302</v>
      </c>
      <c r="E159" s="11">
        <f t="shared" si="4"/>
        <v>157</v>
      </c>
      <c r="G159" s="22" t="s">
        <v>104</v>
      </c>
      <c r="H159" s="23" t="s">
        <v>5</v>
      </c>
      <c r="I159" t="str">
        <f>G159&amp;"（"&amp;H159&amp;"）"</f>
        <v>解除（状態異常）</v>
      </c>
    </row>
    <row r="160" spans="1:9" x14ac:dyDescent="0.25">
      <c r="A160" s="11">
        <v>158</v>
      </c>
      <c r="B160" s="12">
        <f>VLOOKUP(I160,Sheet3!C:D,2,FALSE)</f>
        <v>53</v>
      </c>
      <c r="C160" s="22" t="s">
        <v>351</v>
      </c>
      <c r="D160" s="22">
        <v>5303</v>
      </c>
      <c r="E160" s="11">
        <f t="shared" si="4"/>
        <v>158</v>
      </c>
      <c r="G160" s="22" t="s">
        <v>104</v>
      </c>
      <c r="H160" s="23" t="s">
        <v>5</v>
      </c>
      <c r="I160" t="str">
        <f>G160&amp;"（"&amp;H160&amp;"）"</f>
        <v>解除（状態異常）</v>
      </c>
    </row>
    <row r="161" spans="1:9" x14ac:dyDescent="0.25">
      <c r="A161" s="11">
        <v>159</v>
      </c>
      <c r="B161" s="12">
        <f>VLOOKUP(I161,Sheet3!C:D,2,FALSE)</f>
        <v>54</v>
      </c>
      <c r="C161" s="22" t="s">
        <v>207</v>
      </c>
      <c r="D161" s="22">
        <v>5401</v>
      </c>
      <c r="E161" s="11">
        <f t="shared" si="4"/>
        <v>159</v>
      </c>
      <c r="G161" s="22" t="s">
        <v>104</v>
      </c>
      <c r="H161" s="23" t="s">
        <v>4</v>
      </c>
      <c r="I161" t="str">
        <f t="shared" si="5"/>
        <v>解除（ステータス上昇）</v>
      </c>
    </row>
    <row r="162" spans="1:9" x14ac:dyDescent="0.25">
      <c r="A162" s="11">
        <v>160</v>
      </c>
      <c r="B162" s="12">
        <f>VLOOKUP(I162,Sheet3!C:D,2,FALSE)</f>
        <v>54</v>
      </c>
      <c r="C162" s="22" t="s">
        <v>208</v>
      </c>
      <c r="D162" s="22">
        <v>5402</v>
      </c>
      <c r="E162" s="11">
        <f t="shared" si="4"/>
        <v>160</v>
      </c>
      <c r="G162" s="22" t="s">
        <v>104</v>
      </c>
      <c r="H162" s="23" t="s">
        <v>4</v>
      </c>
      <c r="I162" t="str">
        <f t="shared" si="5"/>
        <v>解除（ステータス上昇）</v>
      </c>
    </row>
    <row r="163" spans="1:9" x14ac:dyDescent="0.25">
      <c r="A163" s="11">
        <v>161</v>
      </c>
      <c r="B163" s="12">
        <f>VLOOKUP(I163,Sheet3!C:D,2,FALSE)</f>
        <v>54</v>
      </c>
      <c r="C163" s="22" t="s">
        <v>209</v>
      </c>
      <c r="D163" s="22">
        <v>5403</v>
      </c>
      <c r="E163" s="11">
        <f t="shared" si="4"/>
        <v>161</v>
      </c>
      <c r="G163" s="22" t="s">
        <v>104</v>
      </c>
      <c r="H163" s="23" t="s">
        <v>4</v>
      </c>
      <c r="I163" t="str">
        <f t="shared" si="5"/>
        <v>解除（ステータス上昇）</v>
      </c>
    </row>
    <row r="164" spans="1:9" x14ac:dyDescent="0.25">
      <c r="A164" s="11">
        <v>162</v>
      </c>
      <c r="B164" s="12">
        <f>VLOOKUP(I164,Sheet3!C:D,2,FALSE)</f>
        <v>54</v>
      </c>
      <c r="C164" s="22" t="s">
        <v>210</v>
      </c>
      <c r="D164" s="22">
        <v>5404</v>
      </c>
      <c r="E164" s="11">
        <f t="shared" si="4"/>
        <v>162</v>
      </c>
      <c r="G164" s="22" t="s">
        <v>104</v>
      </c>
      <c r="H164" s="23" t="s">
        <v>4</v>
      </c>
      <c r="I164" t="str">
        <f t="shared" si="5"/>
        <v>解除（ステータス上昇）</v>
      </c>
    </row>
    <row r="165" spans="1:9" x14ac:dyDescent="0.25">
      <c r="A165" s="11">
        <v>163</v>
      </c>
      <c r="B165" s="12">
        <f>VLOOKUP(I165,Sheet3!C:D,2,FALSE)</f>
        <v>54</v>
      </c>
      <c r="C165" s="22" t="s">
        <v>213</v>
      </c>
      <c r="D165" s="22">
        <v>5405</v>
      </c>
      <c r="E165" s="11">
        <f t="shared" si="4"/>
        <v>163</v>
      </c>
      <c r="G165" s="22" t="s">
        <v>104</v>
      </c>
      <c r="H165" s="23" t="s">
        <v>4</v>
      </c>
      <c r="I165" t="str">
        <f t="shared" si="5"/>
        <v>解除（ステータス上昇）</v>
      </c>
    </row>
    <row r="166" spans="1:9" x14ac:dyDescent="0.25">
      <c r="A166" s="11">
        <v>164</v>
      </c>
      <c r="B166" s="12">
        <f>VLOOKUP(I166,Sheet3!C:D,2,FALSE)</f>
        <v>54</v>
      </c>
      <c r="C166" s="22" t="s">
        <v>211</v>
      </c>
      <c r="D166" s="22">
        <v>5406</v>
      </c>
      <c r="E166" s="11">
        <f t="shared" si="4"/>
        <v>164</v>
      </c>
      <c r="G166" s="22" t="s">
        <v>104</v>
      </c>
      <c r="H166" s="23" t="s">
        <v>4</v>
      </c>
      <c r="I166" t="str">
        <f t="shared" si="5"/>
        <v>解除（ステータス上昇）</v>
      </c>
    </row>
    <row r="167" spans="1:9" x14ac:dyDescent="0.25">
      <c r="A167" s="11">
        <v>165</v>
      </c>
      <c r="B167" s="12">
        <f>VLOOKUP(I167,Sheet3!C:D,2,FALSE)</f>
        <v>54</v>
      </c>
      <c r="C167" s="22" t="s">
        <v>212</v>
      </c>
      <c r="D167" s="22">
        <v>5407</v>
      </c>
      <c r="E167" s="11">
        <f t="shared" si="4"/>
        <v>165</v>
      </c>
      <c r="G167" s="22" t="s">
        <v>104</v>
      </c>
      <c r="H167" s="23" t="s">
        <v>4</v>
      </c>
      <c r="I167" t="str">
        <f t="shared" si="5"/>
        <v>解除（ステータス上昇）</v>
      </c>
    </row>
    <row r="168" spans="1:9" x14ac:dyDescent="0.25">
      <c r="A168" s="11">
        <v>166</v>
      </c>
      <c r="B168" s="12">
        <f>VLOOKUP(I168,Sheet3!C:D,2,FALSE)</f>
        <v>54</v>
      </c>
      <c r="C168" s="22" t="s">
        <v>214</v>
      </c>
      <c r="D168" s="22">
        <v>5408</v>
      </c>
      <c r="E168" s="11">
        <f t="shared" si="4"/>
        <v>166</v>
      </c>
      <c r="G168" s="22" t="s">
        <v>104</v>
      </c>
      <c r="H168" s="23" t="s">
        <v>4</v>
      </c>
      <c r="I168" t="str">
        <f t="shared" si="5"/>
        <v>解除（ステータス上昇）</v>
      </c>
    </row>
    <row r="169" spans="1:9" x14ac:dyDescent="0.25">
      <c r="A169" s="11">
        <v>167</v>
      </c>
      <c r="B169" s="12">
        <f>VLOOKUP(I169,Sheet3!C:D,2,FALSE)</f>
        <v>55</v>
      </c>
      <c r="C169" s="22" t="s">
        <v>224</v>
      </c>
      <c r="D169" s="22">
        <v>5501</v>
      </c>
      <c r="E169" s="11">
        <f t="shared" si="4"/>
        <v>167</v>
      </c>
      <c r="G169" s="22" t="s">
        <v>104</v>
      </c>
      <c r="H169" s="23" t="s">
        <v>3</v>
      </c>
      <c r="I169" t="str">
        <f t="shared" si="5"/>
        <v>解除（ステータス低下）</v>
      </c>
    </row>
    <row r="170" spans="1:9" x14ac:dyDescent="0.25">
      <c r="A170" s="11">
        <v>168</v>
      </c>
      <c r="B170" s="12">
        <f>VLOOKUP(I170,Sheet3!C:D,2,FALSE)</f>
        <v>55</v>
      </c>
      <c r="C170" s="22" t="s">
        <v>225</v>
      </c>
      <c r="D170" s="22">
        <v>5502</v>
      </c>
      <c r="E170" s="11">
        <f t="shared" si="4"/>
        <v>168</v>
      </c>
      <c r="G170" s="22" t="s">
        <v>104</v>
      </c>
      <c r="H170" s="23" t="s">
        <v>3</v>
      </c>
      <c r="I170" t="str">
        <f t="shared" si="5"/>
        <v>解除（ステータス低下）</v>
      </c>
    </row>
    <row r="171" spans="1:9" x14ac:dyDescent="0.25">
      <c r="A171" s="11">
        <v>169</v>
      </c>
      <c r="B171" s="12">
        <f>VLOOKUP(I171,Sheet3!C:D,2,FALSE)</f>
        <v>55</v>
      </c>
      <c r="C171" s="22" t="s">
        <v>226</v>
      </c>
      <c r="D171" s="22">
        <v>5503</v>
      </c>
      <c r="E171" s="11">
        <f t="shared" si="4"/>
        <v>169</v>
      </c>
      <c r="G171" s="22" t="s">
        <v>104</v>
      </c>
      <c r="H171" s="23" t="s">
        <v>3</v>
      </c>
      <c r="I171" t="str">
        <f t="shared" si="5"/>
        <v>解除（ステータス低下）</v>
      </c>
    </row>
    <row r="172" spans="1:9" x14ac:dyDescent="0.25">
      <c r="A172" s="11">
        <v>170</v>
      </c>
      <c r="B172" s="12">
        <f>VLOOKUP(I172,Sheet3!C:D,2,FALSE)</f>
        <v>55</v>
      </c>
      <c r="C172" s="22" t="s">
        <v>227</v>
      </c>
      <c r="D172" s="22">
        <v>5504</v>
      </c>
      <c r="E172" s="11">
        <f t="shared" si="4"/>
        <v>170</v>
      </c>
      <c r="G172" s="22" t="s">
        <v>104</v>
      </c>
      <c r="H172" s="23" t="s">
        <v>3</v>
      </c>
      <c r="I172" t="str">
        <f t="shared" si="5"/>
        <v>解除（ステータス低下）</v>
      </c>
    </row>
    <row r="173" spans="1:9" x14ac:dyDescent="0.25">
      <c r="A173" s="11">
        <v>171</v>
      </c>
      <c r="B173" s="12">
        <f>VLOOKUP(I173,Sheet3!C:D,2,FALSE)</f>
        <v>55</v>
      </c>
      <c r="C173" s="22" t="s">
        <v>228</v>
      </c>
      <c r="D173" s="22">
        <v>5505</v>
      </c>
      <c r="E173" s="11">
        <f t="shared" si="4"/>
        <v>171</v>
      </c>
      <c r="G173" s="22" t="s">
        <v>104</v>
      </c>
      <c r="H173" s="23" t="s">
        <v>3</v>
      </c>
      <c r="I173" t="str">
        <f t="shared" si="5"/>
        <v>解除（ステータス低下）</v>
      </c>
    </row>
    <row r="174" spans="1:9" x14ac:dyDescent="0.25">
      <c r="A174" s="11">
        <v>172</v>
      </c>
      <c r="B174" s="12">
        <f>VLOOKUP(I174,Sheet3!C:D,2,FALSE)</f>
        <v>55</v>
      </c>
      <c r="C174" s="22" t="s">
        <v>229</v>
      </c>
      <c r="D174" s="22">
        <v>5506</v>
      </c>
      <c r="E174" s="11">
        <f t="shared" si="4"/>
        <v>172</v>
      </c>
      <c r="G174" s="22" t="s">
        <v>104</v>
      </c>
      <c r="H174" s="23" t="s">
        <v>3</v>
      </c>
      <c r="I174" t="str">
        <f t="shared" si="5"/>
        <v>解除（ステータス低下）</v>
      </c>
    </row>
    <row r="175" spans="1:9" x14ac:dyDescent="0.25">
      <c r="A175" s="11">
        <v>173</v>
      </c>
      <c r="B175" s="12">
        <f>VLOOKUP(I175,Sheet3!C:D,2,FALSE)</f>
        <v>55</v>
      </c>
      <c r="C175" s="22" t="s">
        <v>230</v>
      </c>
      <c r="D175" s="22">
        <v>5507</v>
      </c>
      <c r="E175" s="11">
        <f t="shared" si="4"/>
        <v>173</v>
      </c>
      <c r="G175" s="22" t="s">
        <v>104</v>
      </c>
      <c r="H175" s="23" t="s">
        <v>3</v>
      </c>
      <c r="I175" t="str">
        <f t="shared" si="5"/>
        <v>解除（ステータス低下）</v>
      </c>
    </row>
    <row r="176" spans="1:9" x14ac:dyDescent="0.25">
      <c r="A176" s="11">
        <v>174</v>
      </c>
      <c r="B176" s="12">
        <f>VLOOKUP(I176,Sheet3!C:D,2,FALSE)</f>
        <v>55</v>
      </c>
      <c r="C176" s="22" t="s">
        <v>231</v>
      </c>
      <c r="D176" s="22">
        <v>5508</v>
      </c>
      <c r="E176" s="11">
        <f t="shared" si="4"/>
        <v>174</v>
      </c>
      <c r="G176" s="22" t="s">
        <v>104</v>
      </c>
      <c r="H176" s="23" t="s">
        <v>3</v>
      </c>
      <c r="I176" t="str">
        <f t="shared" si="5"/>
        <v>解除（ステータス低下）</v>
      </c>
    </row>
    <row r="177" spans="1:9" x14ac:dyDescent="0.25">
      <c r="A177" s="11">
        <v>175</v>
      </c>
      <c r="B177" s="12">
        <f>VLOOKUP(I177,Sheet3!C:D,2,FALSE)</f>
        <v>56</v>
      </c>
      <c r="C177" s="22" t="s">
        <v>255</v>
      </c>
      <c r="D177" s="22">
        <v>5601</v>
      </c>
      <c r="E177" s="11">
        <f t="shared" si="4"/>
        <v>175</v>
      </c>
      <c r="G177" s="22" t="s">
        <v>104</v>
      </c>
      <c r="H177" s="23" t="s">
        <v>105</v>
      </c>
      <c r="I177" t="str">
        <f t="shared" si="5"/>
        <v>解除（耐性）</v>
      </c>
    </row>
    <row r="178" spans="1:9" x14ac:dyDescent="0.25">
      <c r="A178" s="11">
        <v>176</v>
      </c>
      <c r="B178" s="12">
        <f>VLOOKUP(I178,Sheet3!C:D,2,FALSE)</f>
        <v>56</v>
      </c>
      <c r="C178" s="22" t="s">
        <v>233</v>
      </c>
      <c r="D178" s="22">
        <v>5602</v>
      </c>
      <c r="E178" s="11">
        <f t="shared" si="4"/>
        <v>176</v>
      </c>
      <c r="G178" s="22" t="s">
        <v>104</v>
      </c>
      <c r="H178" s="23" t="s">
        <v>105</v>
      </c>
      <c r="I178" t="str">
        <f t="shared" si="5"/>
        <v>解除（耐性）</v>
      </c>
    </row>
    <row r="179" spans="1:9" x14ac:dyDescent="0.25">
      <c r="A179" s="11">
        <v>177</v>
      </c>
      <c r="B179" s="12">
        <f>VLOOKUP(I179,Sheet3!C:D,2,FALSE)</f>
        <v>56</v>
      </c>
      <c r="C179" s="22" t="s">
        <v>219</v>
      </c>
      <c r="D179" s="22">
        <v>5603</v>
      </c>
      <c r="E179" s="11">
        <f t="shared" si="4"/>
        <v>177</v>
      </c>
      <c r="G179" s="22" t="s">
        <v>104</v>
      </c>
      <c r="H179" s="23" t="s">
        <v>105</v>
      </c>
      <c r="I179" t="str">
        <f t="shared" si="5"/>
        <v>解除（耐性）</v>
      </c>
    </row>
    <row r="180" spans="1:9" x14ac:dyDescent="0.25">
      <c r="A180" s="11">
        <v>178</v>
      </c>
      <c r="B180" s="12">
        <f>VLOOKUP(I180,Sheet3!C:D,2,FALSE)</f>
        <v>56</v>
      </c>
      <c r="C180" s="22" t="s">
        <v>234</v>
      </c>
      <c r="D180" s="22">
        <v>5604</v>
      </c>
      <c r="E180" s="11">
        <f t="shared" si="4"/>
        <v>178</v>
      </c>
      <c r="G180" s="22" t="s">
        <v>104</v>
      </c>
      <c r="H180" s="23" t="s">
        <v>105</v>
      </c>
      <c r="I180" t="str">
        <f t="shared" si="5"/>
        <v>解除（耐性）</v>
      </c>
    </row>
    <row r="181" spans="1:9" x14ac:dyDescent="0.25">
      <c r="A181" s="11">
        <v>179</v>
      </c>
      <c r="B181" s="12">
        <f>VLOOKUP(I181,Sheet3!C:D,2,FALSE)</f>
        <v>56</v>
      </c>
      <c r="C181" s="22" t="s">
        <v>232</v>
      </c>
      <c r="D181" s="22">
        <v>5605</v>
      </c>
      <c r="E181" s="11">
        <f t="shared" si="4"/>
        <v>179</v>
      </c>
      <c r="G181" s="22" t="s">
        <v>104</v>
      </c>
      <c r="H181" s="23" t="s">
        <v>105</v>
      </c>
      <c r="I181" t="str">
        <f t="shared" si="5"/>
        <v>解除（耐性）</v>
      </c>
    </row>
    <row r="182" spans="1:9" x14ac:dyDescent="0.25">
      <c r="A182" s="11">
        <v>180</v>
      </c>
      <c r="B182" s="12">
        <f>VLOOKUP(I182,Sheet3!C:D,2,FALSE)</f>
        <v>56</v>
      </c>
      <c r="C182" s="22" t="s">
        <v>239</v>
      </c>
      <c r="D182" s="22">
        <v>5606</v>
      </c>
      <c r="E182" s="11">
        <f t="shared" si="4"/>
        <v>180</v>
      </c>
      <c r="G182" s="22" t="s">
        <v>104</v>
      </c>
      <c r="H182" s="23" t="s">
        <v>105</v>
      </c>
      <c r="I182" t="str">
        <f t="shared" si="5"/>
        <v>解除（耐性）</v>
      </c>
    </row>
    <row r="183" spans="1:9" x14ac:dyDescent="0.25">
      <c r="A183" s="11">
        <v>181</v>
      </c>
      <c r="B183" s="12">
        <f>VLOOKUP(I183,Sheet3!C:D,2,FALSE)</f>
        <v>56</v>
      </c>
      <c r="C183" s="22" t="s">
        <v>222</v>
      </c>
      <c r="D183" s="22">
        <v>5607</v>
      </c>
      <c r="E183" s="11">
        <f t="shared" si="4"/>
        <v>181</v>
      </c>
      <c r="G183" s="22" t="s">
        <v>104</v>
      </c>
      <c r="H183" s="23" t="s">
        <v>105</v>
      </c>
      <c r="I183" t="str">
        <f t="shared" si="5"/>
        <v>解除（耐性）</v>
      </c>
    </row>
    <row r="184" spans="1:9" x14ac:dyDescent="0.25">
      <c r="A184" s="11">
        <v>182</v>
      </c>
      <c r="B184" s="12">
        <f>VLOOKUP(I184,Sheet3!C:D,2,FALSE)</f>
        <v>56</v>
      </c>
      <c r="C184" s="22" t="s">
        <v>223</v>
      </c>
      <c r="D184" s="22">
        <v>5608</v>
      </c>
      <c r="E184" s="11">
        <f t="shared" si="4"/>
        <v>182</v>
      </c>
      <c r="G184" s="22" t="s">
        <v>104</v>
      </c>
      <c r="H184" s="23" t="s">
        <v>105</v>
      </c>
      <c r="I184" t="str">
        <f t="shared" si="5"/>
        <v>解除（耐性）</v>
      </c>
    </row>
    <row r="185" spans="1:9" x14ac:dyDescent="0.25">
      <c r="A185" s="11">
        <v>183</v>
      </c>
      <c r="B185" s="12">
        <f>VLOOKUP(I185,Sheet3!C:D,2,FALSE)</f>
        <v>56</v>
      </c>
      <c r="C185" s="22" t="s">
        <v>238</v>
      </c>
      <c r="D185" s="22">
        <v>5609</v>
      </c>
      <c r="E185" s="11">
        <f t="shared" si="4"/>
        <v>183</v>
      </c>
      <c r="G185" s="22" t="s">
        <v>104</v>
      </c>
      <c r="H185" s="23" t="s">
        <v>105</v>
      </c>
      <c r="I185" t="str">
        <f t="shared" si="5"/>
        <v>解除（耐性）</v>
      </c>
    </row>
    <row r="186" spans="1:9" x14ac:dyDescent="0.25">
      <c r="A186" s="11">
        <v>184</v>
      </c>
      <c r="B186" s="12">
        <f>VLOOKUP(I186,Sheet3!C:D,2,FALSE)</f>
        <v>56</v>
      </c>
      <c r="C186" s="22" t="s">
        <v>220</v>
      </c>
      <c r="D186" s="22">
        <v>5610</v>
      </c>
      <c r="E186" s="11">
        <f t="shared" si="4"/>
        <v>184</v>
      </c>
      <c r="G186" s="22" t="s">
        <v>104</v>
      </c>
      <c r="H186" s="23" t="s">
        <v>105</v>
      </c>
      <c r="I186" t="str">
        <f t="shared" si="5"/>
        <v>解除（耐性）</v>
      </c>
    </row>
    <row r="187" spans="1:9" x14ac:dyDescent="0.25">
      <c r="A187" s="11">
        <v>185</v>
      </c>
      <c r="B187" s="12">
        <f>VLOOKUP(I187,Sheet3!C:D,2,FALSE)</f>
        <v>56</v>
      </c>
      <c r="C187" s="22" t="s">
        <v>237</v>
      </c>
      <c r="D187" s="22">
        <v>5611</v>
      </c>
      <c r="E187" s="11">
        <f t="shared" si="4"/>
        <v>185</v>
      </c>
      <c r="G187" s="22" t="s">
        <v>104</v>
      </c>
      <c r="H187" s="23" t="s">
        <v>105</v>
      </c>
      <c r="I187" t="str">
        <f t="shared" si="5"/>
        <v>解除（耐性）</v>
      </c>
    </row>
    <row r="188" spans="1:9" x14ac:dyDescent="0.25">
      <c r="A188" s="11">
        <v>186</v>
      </c>
      <c r="B188" s="12">
        <f>VLOOKUP(I188,Sheet3!C:D,2,FALSE)</f>
        <v>56</v>
      </c>
      <c r="C188" s="22" t="s">
        <v>235</v>
      </c>
      <c r="D188" s="22">
        <v>5612</v>
      </c>
      <c r="E188" s="11">
        <f t="shared" si="4"/>
        <v>186</v>
      </c>
      <c r="G188" s="22" t="s">
        <v>104</v>
      </c>
      <c r="H188" s="23" t="s">
        <v>105</v>
      </c>
      <c r="I188" t="str">
        <f t="shared" si="5"/>
        <v>解除（耐性）</v>
      </c>
    </row>
    <row r="189" spans="1:9" x14ac:dyDescent="0.25">
      <c r="A189" s="11">
        <v>187</v>
      </c>
      <c r="B189" s="12">
        <f>VLOOKUP(I189,Sheet3!C:D,2,FALSE)</f>
        <v>56</v>
      </c>
      <c r="C189" s="22" t="s">
        <v>254</v>
      </c>
      <c r="D189" s="22">
        <v>5613</v>
      </c>
      <c r="E189" s="11">
        <f t="shared" si="4"/>
        <v>187</v>
      </c>
      <c r="G189" s="22" t="s">
        <v>104</v>
      </c>
      <c r="H189" s="23" t="s">
        <v>105</v>
      </c>
      <c r="I189" t="str">
        <f t="shared" si="5"/>
        <v>解除（耐性）</v>
      </c>
    </row>
    <row r="190" spans="1:9" x14ac:dyDescent="0.25">
      <c r="A190" s="11">
        <v>188</v>
      </c>
      <c r="B190" s="12">
        <f>VLOOKUP(I190,Sheet3!C:D,2,FALSE)</f>
        <v>56</v>
      </c>
      <c r="C190" s="22" t="s">
        <v>252</v>
      </c>
      <c r="D190" s="22">
        <v>5614</v>
      </c>
      <c r="E190" s="11">
        <f t="shared" si="4"/>
        <v>188</v>
      </c>
      <c r="G190" s="22" t="s">
        <v>104</v>
      </c>
      <c r="H190" s="23" t="s">
        <v>105</v>
      </c>
      <c r="I190" t="str">
        <f t="shared" si="5"/>
        <v>解除（耐性）</v>
      </c>
    </row>
    <row r="191" spans="1:9" x14ac:dyDescent="0.25">
      <c r="A191" s="11">
        <v>189</v>
      </c>
      <c r="B191" s="12">
        <f>VLOOKUP(I191,Sheet3!C:D,2,FALSE)</f>
        <v>56</v>
      </c>
      <c r="C191" s="22" t="s">
        <v>236</v>
      </c>
      <c r="D191" s="22">
        <v>5615</v>
      </c>
      <c r="E191" s="11">
        <f t="shared" si="4"/>
        <v>189</v>
      </c>
      <c r="G191" s="22" t="s">
        <v>104</v>
      </c>
      <c r="H191" s="23" t="s">
        <v>105</v>
      </c>
      <c r="I191" t="str">
        <f t="shared" si="5"/>
        <v>解除（耐性）</v>
      </c>
    </row>
    <row r="192" spans="1:9" x14ac:dyDescent="0.25">
      <c r="A192" s="11">
        <v>190</v>
      </c>
      <c r="B192" s="12">
        <f>VLOOKUP(I192,Sheet3!C:D,2,FALSE)</f>
        <v>56</v>
      </c>
      <c r="C192" s="22" t="s">
        <v>277</v>
      </c>
      <c r="D192" s="22">
        <v>5616</v>
      </c>
      <c r="E192" s="11">
        <f t="shared" si="4"/>
        <v>190</v>
      </c>
      <c r="G192" s="22" t="s">
        <v>104</v>
      </c>
      <c r="H192" s="23" t="s">
        <v>105</v>
      </c>
      <c r="I192" t="str">
        <f t="shared" si="5"/>
        <v>解除（耐性）</v>
      </c>
    </row>
    <row r="193" spans="1:9" x14ac:dyDescent="0.25">
      <c r="A193" s="11">
        <v>191</v>
      </c>
      <c r="B193" s="12">
        <f>VLOOKUP(I193,Sheet3!C:D,2,FALSE)</f>
        <v>56</v>
      </c>
      <c r="C193" s="22" t="s">
        <v>278</v>
      </c>
      <c r="D193" s="22">
        <v>5617</v>
      </c>
      <c r="E193" s="11">
        <f t="shared" si="4"/>
        <v>191</v>
      </c>
      <c r="G193" s="22" t="s">
        <v>104</v>
      </c>
      <c r="H193" s="23" t="s">
        <v>105</v>
      </c>
      <c r="I193" t="str">
        <f t="shared" si="5"/>
        <v>解除（耐性）</v>
      </c>
    </row>
    <row r="194" spans="1:9" x14ac:dyDescent="0.25">
      <c r="A194" s="11">
        <v>192</v>
      </c>
      <c r="B194" s="12">
        <f>VLOOKUP(I194,Sheet3!C:D,2,FALSE)</f>
        <v>56</v>
      </c>
      <c r="C194" s="22" t="s">
        <v>279</v>
      </c>
      <c r="D194" s="22">
        <v>5618</v>
      </c>
      <c r="E194" s="11">
        <f t="shared" si="4"/>
        <v>192</v>
      </c>
      <c r="G194" s="22" t="s">
        <v>104</v>
      </c>
      <c r="H194" s="23" t="s">
        <v>105</v>
      </c>
      <c r="I194" t="str">
        <f t="shared" si="5"/>
        <v>解除（耐性）</v>
      </c>
    </row>
    <row r="195" spans="1:9" x14ac:dyDescent="0.25">
      <c r="A195" s="11">
        <v>193</v>
      </c>
      <c r="B195" s="12">
        <f>VLOOKUP(I195,Sheet3!C:D,2,FALSE)</f>
        <v>101</v>
      </c>
      <c r="C195" s="22" t="s">
        <v>335</v>
      </c>
      <c r="D195" s="22">
        <v>10101</v>
      </c>
      <c r="E195" s="11">
        <f t="shared" si="4"/>
        <v>193</v>
      </c>
      <c r="G195" s="22" t="s">
        <v>105</v>
      </c>
      <c r="H195" s="23"/>
      <c r="I195" t="str">
        <f t="shared" si="5"/>
        <v>耐性（）</v>
      </c>
    </row>
    <row r="196" spans="1:9" x14ac:dyDescent="0.25">
      <c r="A196" s="11">
        <v>194</v>
      </c>
      <c r="B196" s="12">
        <f>VLOOKUP(I196,Sheet3!C:D,2,FALSE)</f>
        <v>101</v>
      </c>
      <c r="C196" s="22" t="s">
        <v>317</v>
      </c>
      <c r="D196" s="22">
        <v>10102</v>
      </c>
      <c r="E196" s="11">
        <f t="shared" ref="E196:E223" si="6">A196</f>
        <v>194</v>
      </c>
      <c r="G196" s="22" t="s">
        <v>105</v>
      </c>
      <c r="H196" s="23"/>
      <c r="I196" t="str">
        <f t="shared" ref="I196:I223" si="7">G196&amp;"（"&amp;H196&amp;"）"</f>
        <v>耐性（）</v>
      </c>
    </row>
    <row r="197" spans="1:9" x14ac:dyDescent="0.25">
      <c r="A197" s="11">
        <v>195</v>
      </c>
      <c r="B197" s="12">
        <f>VLOOKUP(I197,Sheet3!C:D,2,FALSE)</f>
        <v>101</v>
      </c>
      <c r="C197" s="22" t="s">
        <v>316</v>
      </c>
      <c r="D197" s="22">
        <v>10103</v>
      </c>
      <c r="E197" s="11">
        <f t="shared" si="6"/>
        <v>195</v>
      </c>
      <c r="G197" s="22" t="s">
        <v>105</v>
      </c>
      <c r="H197" s="23"/>
      <c r="I197" t="str">
        <f t="shared" si="7"/>
        <v>耐性（）</v>
      </c>
    </row>
    <row r="198" spans="1:9" x14ac:dyDescent="0.25">
      <c r="A198" s="11">
        <v>196</v>
      </c>
      <c r="B198" s="12">
        <f>VLOOKUP(I198,Sheet3!C:D,2,FALSE)</f>
        <v>101</v>
      </c>
      <c r="C198" s="22" t="s">
        <v>323</v>
      </c>
      <c r="D198" s="22">
        <v>10104</v>
      </c>
      <c r="E198" s="11">
        <f t="shared" si="6"/>
        <v>196</v>
      </c>
      <c r="G198" s="22" t="s">
        <v>105</v>
      </c>
      <c r="H198" s="23"/>
      <c r="I198" t="str">
        <f t="shared" si="7"/>
        <v>耐性（）</v>
      </c>
    </row>
    <row r="199" spans="1:9" x14ac:dyDescent="0.25">
      <c r="A199" s="11">
        <v>197</v>
      </c>
      <c r="B199" s="12">
        <f>VLOOKUP(I199,Sheet3!C:D,2,FALSE)</f>
        <v>101</v>
      </c>
      <c r="C199" s="22" t="s">
        <v>315</v>
      </c>
      <c r="D199" s="22">
        <v>10105</v>
      </c>
      <c r="E199" s="11">
        <f t="shared" si="6"/>
        <v>197</v>
      </c>
      <c r="G199" s="22" t="s">
        <v>105</v>
      </c>
      <c r="H199" s="23"/>
      <c r="I199" t="str">
        <f t="shared" si="7"/>
        <v>耐性（）</v>
      </c>
    </row>
    <row r="200" spans="1:9" x14ac:dyDescent="0.25">
      <c r="A200" s="11">
        <v>198</v>
      </c>
      <c r="B200" s="12">
        <f>VLOOKUP(I200,Sheet3!C:D,2,FALSE)</f>
        <v>101</v>
      </c>
      <c r="C200" s="22" t="s">
        <v>314</v>
      </c>
      <c r="D200" s="22">
        <v>10106</v>
      </c>
      <c r="E200" s="11">
        <f t="shared" si="6"/>
        <v>198</v>
      </c>
      <c r="G200" s="22" t="s">
        <v>105</v>
      </c>
      <c r="H200" s="23"/>
      <c r="I200" t="str">
        <f t="shared" si="7"/>
        <v>耐性（）</v>
      </c>
    </row>
    <row r="201" spans="1:9" x14ac:dyDescent="0.25">
      <c r="A201" s="11">
        <v>199</v>
      </c>
      <c r="B201" s="12">
        <f>VLOOKUP(I201,Sheet3!C:D,2,FALSE)</f>
        <v>101</v>
      </c>
      <c r="C201" s="22" t="s">
        <v>321</v>
      </c>
      <c r="D201" s="22">
        <v>10107</v>
      </c>
      <c r="E201" s="11">
        <f t="shared" si="6"/>
        <v>199</v>
      </c>
      <c r="G201" s="22" t="s">
        <v>105</v>
      </c>
      <c r="H201" s="23"/>
      <c r="I201" t="str">
        <f t="shared" si="7"/>
        <v>耐性（）</v>
      </c>
    </row>
    <row r="202" spans="1:9" x14ac:dyDescent="0.25">
      <c r="A202" s="11">
        <v>200</v>
      </c>
      <c r="B202" s="12">
        <f>VLOOKUP(I202,Sheet3!C:D,2,FALSE)</f>
        <v>101</v>
      </c>
      <c r="C202" s="22" t="s">
        <v>322</v>
      </c>
      <c r="D202" s="22">
        <v>10108</v>
      </c>
      <c r="E202" s="11">
        <f t="shared" si="6"/>
        <v>200</v>
      </c>
      <c r="G202" s="22" t="s">
        <v>105</v>
      </c>
      <c r="H202" s="23"/>
      <c r="I202" t="str">
        <f t="shared" si="7"/>
        <v>耐性（）</v>
      </c>
    </row>
    <row r="203" spans="1:9" x14ac:dyDescent="0.25">
      <c r="A203" s="11">
        <v>201</v>
      </c>
      <c r="B203" s="12">
        <f>VLOOKUP(I203,Sheet3!C:D,2,FALSE)</f>
        <v>101</v>
      </c>
      <c r="C203" s="22" t="s">
        <v>319</v>
      </c>
      <c r="D203" s="22">
        <v>10109</v>
      </c>
      <c r="E203" s="11">
        <f t="shared" si="6"/>
        <v>201</v>
      </c>
      <c r="G203" s="22" t="s">
        <v>105</v>
      </c>
      <c r="H203" s="23"/>
      <c r="I203" t="str">
        <f t="shared" si="7"/>
        <v>耐性（）</v>
      </c>
    </row>
    <row r="204" spans="1:9" x14ac:dyDescent="0.25">
      <c r="A204" s="11">
        <v>202</v>
      </c>
      <c r="B204" s="12">
        <f>VLOOKUP(I204,Sheet3!C:D,2,FALSE)</f>
        <v>101</v>
      </c>
      <c r="C204" s="22" t="s">
        <v>324</v>
      </c>
      <c r="D204" s="22">
        <v>10110</v>
      </c>
      <c r="E204" s="11">
        <f t="shared" si="6"/>
        <v>202</v>
      </c>
      <c r="G204" s="22" t="s">
        <v>105</v>
      </c>
      <c r="H204" s="23"/>
      <c r="I204" t="str">
        <f t="shared" si="7"/>
        <v>耐性（）</v>
      </c>
    </row>
    <row r="205" spans="1:9" x14ac:dyDescent="0.25">
      <c r="A205" s="11">
        <v>203</v>
      </c>
      <c r="B205" s="12">
        <f>VLOOKUP(I205,Sheet3!C:D,2,FALSE)</f>
        <v>101</v>
      </c>
      <c r="C205" s="22" t="s">
        <v>320</v>
      </c>
      <c r="D205" s="22">
        <v>10111</v>
      </c>
      <c r="E205" s="11">
        <f t="shared" si="6"/>
        <v>203</v>
      </c>
      <c r="G205" s="22" t="s">
        <v>105</v>
      </c>
      <c r="H205" s="23"/>
      <c r="I205" t="str">
        <f t="shared" si="7"/>
        <v>耐性（）</v>
      </c>
    </row>
    <row r="206" spans="1:9" x14ac:dyDescent="0.25">
      <c r="A206" s="11">
        <v>204</v>
      </c>
      <c r="B206" s="12">
        <f>VLOOKUP(I206,Sheet3!C:D,2,FALSE)</f>
        <v>101</v>
      </c>
      <c r="C206" s="22" t="s">
        <v>318</v>
      </c>
      <c r="D206" s="22">
        <v>10112</v>
      </c>
      <c r="E206" s="11">
        <f t="shared" si="6"/>
        <v>204</v>
      </c>
      <c r="G206" s="22" t="s">
        <v>105</v>
      </c>
      <c r="H206" s="23"/>
      <c r="I206" t="str">
        <f t="shared" si="7"/>
        <v>耐性（）</v>
      </c>
    </row>
    <row r="207" spans="1:9" x14ac:dyDescent="0.25">
      <c r="A207" s="11">
        <v>205</v>
      </c>
      <c r="B207" s="12">
        <f>VLOOKUP(I207,Sheet3!C:D,2,FALSE)</f>
        <v>101</v>
      </c>
      <c r="C207" s="22" t="s">
        <v>327</v>
      </c>
      <c r="D207" s="22">
        <v>10113</v>
      </c>
      <c r="E207" s="11">
        <f t="shared" si="6"/>
        <v>205</v>
      </c>
      <c r="G207" s="22" t="s">
        <v>105</v>
      </c>
      <c r="H207" s="23"/>
      <c r="I207" t="str">
        <f t="shared" si="7"/>
        <v>耐性（）</v>
      </c>
    </row>
    <row r="208" spans="1:9" x14ac:dyDescent="0.25">
      <c r="A208" s="11">
        <v>206</v>
      </c>
      <c r="B208" s="12">
        <f>VLOOKUP(I208,Sheet3!C:D,2,FALSE)</f>
        <v>101</v>
      </c>
      <c r="C208" s="22" t="s">
        <v>325</v>
      </c>
      <c r="D208" s="22">
        <v>10114</v>
      </c>
      <c r="E208" s="11">
        <f t="shared" si="6"/>
        <v>206</v>
      </c>
      <c r="G208" s="22" t="s">
        <v>105</v>
      </c>
      <c r="H208" s="23"/>
      <c r="I208" t="str">
        <f t="shared" si="7"/>
        <v>耐性（）</v>
      </c>
    </row>
    <row r="209" spans="1:9" x14ac:dyDescent="0.25">
      <c r="A209" s="11">
        <v>207</v>
      </c>
      <c r="B209" s="12">
        <f>VLOOKUP(I209,Sheet3!C:D,2,FALSE)</f>
        <v>101</v>
      </c>
      <c r="C209" s="22" t="s">
        <v>326</v>
      </c>
      <c r="D209" s="22">
        <v>10115</v>
      </c>
      <c r="E209" s="11">
        <f t="shared" si="6"/>
        <v>207</v>
      </c>
      <c r="G209" s="22" t="s">
        <v>105</v>
      </c>
      <c r="H209" s="23"/>
      <c r="I209" t="str">
        <f t="shared" si="7"/>
        <v>耐性（）</v>
      </c>
    </row>
    <row r="210" spans="1:9" x14ac:dyDescent="0.25">
      <c r="A210" s="11">
        <v>208</v>
      </c>
      <c r="B210" s="12">
        <f>VLOOKUP(I210,Sheet3!C:D,2,FALSE)</f>
        <v>101</v>
      </c>
      <c r="C210" s="22" t="s">
        <v>330</v>
      </c>
      <c r="D210" s="22">
        <v>10116</v>
      </c>
      <c r="E210" s="11">
        <f t="shared" si="6"/>
        <v>208</v>
      </c>
      <c r="G210" s="22" t="s">
        <v>105</v>
      </c>
      <c r="H210" s="23"/>
      <c r="I210" t="str">
        <f t="shared" si="7"/>
        <v>耐性（）</v>
      </c>
    </row>
    <row r="211" spans="1:9" x14ac:dyDescent="0.25">
      <c r="A211" s="11">
        <v>209</v>
      </c>
      <c r="B211" s="12">
        <f>VLOOKUP(I211,Sheet3!C:D,2,FALSE)</f>
        <v>101</v>
      </c>
      <c r="C211" s="22" t="s">
        <v>328</v>
      </c>
      <c r="D211" s="22">
        <v>10117</v>
      </c>
      <c r="E211" s="11">
        <f t="shared" si="6"/>
        <v>209</v>
      </c>
      <c r="G211" s="22" t="s">
        <v>105</v>
      </c>
      <c r="H211" s="23"/>
      <c r="I211" t="str">
        <f t="shared" si="7"/>
        <v>耐性（）</v>
      </c>
    </row>
    <row r="212" spans="1:9" x14ac:dyDescent="0.25">
      <c r="A212" s="11">
        <v>210</v>
      </c>
      <c r="B212" s="12">
        <f>VLOOKUP(I212,Sheet3!C:D,2,FALSE)</f>
        <v>101</v>
      </c>
      <c r="C212" s="22" t="s">
        <v>329</v>
      </c>
      <c r="D212" s="22">
        <v>10118</v>
      </c>
      <c r="E212" s="11">
        <f t="shared" si="6"/>
        <v>210</v>
      </c>
      <c r="G212" s="22" t="s">
        <v>105</v>
      </c>
      <c r="H212" s="23"/>
      <c r="I212" t="str">
        <f t="shared" si="7"/>
        <v>耐性（）</v>
      </c>
    </row>
    <row r="213" spans="1:9" x14ac:dyDescent="0.25">
      <c r="A213" s="11">
        <v>211</v>
      </c>
      <c r="B213" s="12">
        <f>VLOOKUP(I213,Sheet3!C:D,2,FALSE)</f>
        <v>101</v>
      </c>
      <c r="C213" s="22" t="s">
        <v>333</v>
      </c>
      <c r="D213" s="22">
        <v>10119</v>
      </c>
      <c r="E213" s="11">
        <f t="shared" si="6"/>
        <v>211</v>
      </c>
      <c r="G213" s="22" t="s">
        <v>105</v>
      </c>
      <c r="H213" s="23"/>
      <c r="I213" t="str">
        <f t="shared" si="7"/>
        <v>耐性（）</v>
      </c>
    </row>
    <row r="214" spans="1:9" x14ac:dyDescent="0.25">
      <c r="A214" s="11">
        <v>212</v>
      </c>
      <c r="B214" s="12">
        <f>VLOOKUP(I214,Sheet3!C:D,2,FALSE)</f>
        <v>101</v>
      </c>
      <c r="C214" s="22" t="s">
        <v>332</v>
      </c>
      <c r="D214" s="22">
        <v>10120</v>
      </c>
      <c r="E214" s="11">
        <f t="shared" si="6"/>
        <v>212</v>
      </c>
      <c r="G214" s="22" t="s">
        <v>105</v>
      </c>
      <c r="H214" s="23"/>
      <c r="I214" t="str">
        <f t="shared" si="7"/>
        <v>耐性（）</v>
      </c>
    </row>
    <row r="215" spans="1:9" x14ac:dyDescent="0.25">
      <c r="A215" s="11">
        <v>213</v>
      </c>
      <c r="B215" s="12">
        <f>VLOOKUP(I215,Sheet3!C:D,2,FALSE)</f>
        <v>101</v>
      </c>
      <c r="C215" s="22" t="s">
        <v>336</v>
      </c>
      <c r="D215" s="22">
        <v>10121</v>
      </c>
      <c r="E215" s="11">
        <f t="shared" si="6"/>
        <v>213</v>
      </c>
      <c r="G215" s="22" t="s">
        <v>105</v>
      </c>
      <c r="H215" s="23"/>
      <c r="I215" t="str">
        <f t="shared" si="7"/>
        <v>耐性（）</v>
      </c>
    </row>
    <row r="216" spans="1:9" x14ac:dyDescent="0.25">
      <c r="A216" s="11">
        <v>214</v>
      </c>
      <c r="B216" s="12">
        <f>VLOOKUP(I216,Sheet3!C:D,2,FALSE)</f>
        <v>101</v>
      </c>
      <c r="C216" s="22" t="s">
        <v>331</v>
      </c>
      <c r="D216" s="22">
        <v>10122</v>
      </c>
      <c r="E216" s="11">
        <f t="shared" si="6"/>
        <v>214</v>
      </c>
      <c r="G216" s="22" t="s">
        <v>105</v>
      </c>
      <c r="H216" s="23"/>
      <c r="I216" t="str">
        <f t="shared" si="7"/>
        <v>耐性（）</v>
      </c>
    </row>
    <row r="217" spans="1:9" x14ac:dyDescent="0.25">
      <c r="A217" s="11">
        <v>215</v>
      </c>
      <c r="B217" s="12">
        <f>VLOOKUP(I217,Sheet3!C:D,2,FALSE)</f>
        <v>101</v>
      </c>
      <c r="C217" s="22" t="s">
        <v>334</v>
      </c>
      <c r="D217" s="22">
        <v>10123</v>
      </c>
      <c r="E217" s="11">
        <f t="shared" si="6"/>
        <v>215</v>
      </c>
      <c r="G217" s="22" t="s">
        <v>105</v>
      </c>
      <c r="H217" s="23"/>
      <c r="I217" t="str">
        <f t="shared" si="7"/>
        <v>耐性（）</v>
      </c>
    </row>
    <row r="218" spans="1:9" x14ac:dyDescent="0.25">
      <c r="A218" s="11">
        <v>216</v>
      </c>
      <c r="B218" s="12">
        <f>VLOOKUP(I218,Sheet3!C:D,2,FALSE)</f>
        <v>102</v>
      </c>
      <c r="C218" s="22" t="s">
        <v>280</v>
      </c>
      <c r="D218" s="22">
        <v>10201</v>
      </c>
      <c r="E218" s="11">
        <f t="shared" si="6"/>
        <v>216</v>
      </c>
      <c r="G218" s="22" t="s">
        <v>106</v>
      </c>
      <c r="H218" s="23"/>
      <c r="I218" t="str">
        <f t="shared" si="7"/>
        <v>回復（）</v>
      </c>
    </row>
    <row r="219" spans="1:9" x14ac:dyDescent="0.25">
      <c r="A219" s="11">
        <v>217</v>
      </c>
      <c r="B219" s="12">
        <f>VLOOKUP(I219,Sheet3!C:D,2,FALSE)</f>
        <v>102</v>
      </c>
      <c r="C219" s="22" t="s">
        <v>281</v>
      </c>
      <c r="D219" s="22">
        <v>10202</v>
      </c>
      <c r="E219" s="11">
        <f t="shared" si="6"/>
        <v>217</v>
      </c>
      <c r="G219" s="22" t="s">
        <v>106</v>
      </c>
      <c r="H219" s="23"/>
      <c r="I219" t="str">
        <f t="shared" si="7"/>
        <v>回復（）</v>
      </c>
    </row>
    <row r="220" spans="1:9" x14ac:dyDescent="0.25">
      <c r="A220" s="11">
        <v>218</v>
      </c>
      <c r="B220" s="12">
        <f>VLOOKUP(I220,Sheet3!C:D,2,FALSE)</f>
        <v>102</v>
      </c>
      <c r="C220" s="22" t="s">
        <v>282</v>
      </c>
      <c r="D220" s="22">
        <v>10203</v>
      </c>
      <c r="E220" s="11">
        <f t="shared" si="6"/>
        <v>218</v>
      </c>
      <c r="G220" s="22" t="s">
        <v>106</v>
      </c>
      <c r="H220" s="23"/>
      <c r="I220" t="str">
        <f t="shared" si="7"/>
        <v>回復（）</v>
      </c>
    </row>
    <row r="221" spans="1:9" x14ac:dyDescent="0.25">
      <c r="A221" s="11">
        <v>219</v>
      </c>
      <c r="B221" s="12">
        <f>VLOOKUP(I221,Sheet3!C:D,2,FALSE)</f>
        <v>102</v>
      </c>
      <c r="C221" s="22" t="s">
        <v>283</v>
      </c>
      <c r="D221" s="22">
        <v>10204</v>
      </c>
      <c r="E221" s="11">
        <f t="shared" si="6"/>
        <v>219</v>
      </c>
      <c r="G221" s="22" t="s">
        <v>106</v>
      </c>
      <c r="H221" s="23"/>
      <c r="I221" t="str">
        <f t="shared" si="7"/>
        <v>回復（）</v>
      </c>
    </row>
    <row r="222" spans="1:9" x14ac:dyDescent="0.25">
      <c r="A222" s="11">
        <v>220</v>
      </c>
      <c r="B222" s="12">
        <f>VLOOKUP(I222,Sheet3!C:D,2,FALSE)</f>
        <v>102</v>
      </c>
      <c r="C222" s="22" t="s">
        <v>285</v>
      </c>
      <c r="D222" s="22">
        <v>10205</v>
      </c>
      <c r="E222" s="11">
        <f t="shared" si="6"/>
        <v>220</v>
      </c>
      <c r="G222" s="22" t="s">
        <v>106</v>
      </c>
      <c r="H222" s="23"/>
      <c r="I222" t="str">
        <f t="shared" si="7"/>
        <v>回復（）</v>
      </c>
    </row>
    <row r="223" spans="1:9" x14ac:dyDescent="0.25">
      <c r="A223" s="11">
        <v>221</v>
      </c>
      <c r="B223" s="12">
        <f>VLOOKUP(I223,Sheet3!C:D,2,FALSE)</f>
        <v>102</v>
      </c>
      <c r="C223" s="22" t="s">
        <v>286</v>
      </c>
      <c r="D223" s="22">
        <v>10206</v>
      </c>
      <c r="E223" s="11">
        <f t="shared" si="6"/>
        <v>221</v>
      </c>
      <c r="G223" s="22" t="s">
        <v>106</v>
      </c>
      <c r="H223" s="23"/>
      <c r="I223" t="str">
        <f t="shared" si="7"/>
        <v>回復（）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4B0CE-801B-42F4-902C-00C7B76CEA82}">
  <dimension ref="A1:G75"/>
  <sheetViews>
    <sheetView topLeftCell="B1" workbookViewId="0">
      <selection activeCell="G2" sqref="G2"/>
    </sheetView>
  </sheetViews>
  <sheetFormatPr defaultRowHeight="13.5" x14ac:dyDescent="0.25"/>
  <cols>
    <col min="1" max="1" width="4.77734375" style="1" bestFit="1" customWidth="1"/>
    <col min="2" max="2" width="13.5546875" style="1" bestFit="1" customWidth="1"/>
    <col min="3" max="4" width="29" style="1" customWidth="1"/>
    <col min="5" max="5" width="8" style="1" bestFit="1" customWidth="1"/>
    <col min="6" max="6" width="7.88671875" style="1" bestFit="1" customWidth="1"/>
    <col min="7" max="16384" width="8.88671875" style="1"/>
  </cols>
  <sheetData>
    <row r="1" spans="1:7" x14ac:dyDescent="0.25">
      <c r="A1" s="4" t="s">
        <v>11</v>
      </c>
      <c r="B1" s="4" t="s">
        <v>10</v>
      </c>
      <c r="C1" s="4" t="s">
        <v>9</v>
      </c>
      <c r="D1" s="4"/>
      <c r="E1" s="4" t="s">
        <v>8</v>
      </c>
      <c r="F1" s="4" t="s">
        <v>7</v>
      </c>
      <c r="G1" s="25" t="s">
        <v>337</v>
      </c>
    </row>
    <row r="2" spans="1:7" x14ac:dyDescent="0.25">
      <c r="A2" s="2">
        <v>1</v>
      </c>
      <c r="B2" s="3" t="s">
        <v>6</v>
      </c>
      <c r="C2" s="3" t="s">
        <v>15</v>
      </c>
      <c r="D2" s="3" t="s">
        <v>342</v>
      </c>
      <c r="E2" s="2">
        <v>4</v>
      </c>
      <c r="F2" s="2">
        <v>1</v>
      </c>
      <c r="G2" s="1">
        <f>VLOOKUP(C2,Skill!C:E,3,FALSE)</f>
        <v>22</v>
      </c>
    </row>
    <row r="3" spans="1:7" x14ac:dyDescent="0.25">
      <c r="A3" s="2">
        <v>2</v>
      </c>
      <c r="B3" s="3" t="s">
        <v>6</v>
      </c>
      <c r="C3" s="3" t="s">
        <v>16</v>
      </c>
      <c r="D3" s="3" t="s">
        <v>342</v>
      </c>
      <c r="E3" s="2">
        <v>4</v>
      </c>
      <c r="F3" s="2">
        <v>2</v>
      </c>
      <c r="G3" s="1">
        <f>VLOOKUP(C3,Skill!C:E,3,FALSE)</f>
        <v>23</v>
      </c>
    </row>
    <row r="4" spans="1:7" x14ac:dyDescent="0.25">
      <c r="A4" s="2">
        <v>3</v>
      </c>
      <c r="B4" s="3" t="s">
        <v>6</v>
      </c>
      <c r="C4" s="3" t="s">
        <v>18</v>
      </c>
      <c r="D4" s="3" t="s">
        <v>342</v>
      </c>
      <c r="E4" s="2">
        <v>4</v>
      </c>
      <c r="F4" s="2">
        <v>3</v>
      </c>
      <c r="G4" s="1">
        <f>VLOOKUP(C4,Skill!C:E,3,FALSE)</f>
        <v>24</v>
      </c>
    </row>
    <row r="5" spans="1:7" x14ac:dyDescent="0.25">
      <c r="A5" s="2">
        <v>4</v>
      </c>
      <c r="B5" s="3" t="s">
        <v>6</v>
      </c>
      <c r="C5" s="3" t="s">
        <v>137</v>
      </c>
      <c r="D5" s="3" t="s">
        <v>343</v>
      </c>
      <c r="E5" s="2">
        <v>4</v>
      </c>
      <c r="F5" s="2">
        <v>4</v>
      </c>
      <c r="G5" s="1">
        <f>VLOOKUP(C5,Skill!C:E,3,FALSE)</f>
        <v>29</v>
      </c>
    </row>
    <row r="6" spans="1:7" x14ac:dyDescent="0.25">
      <c r="A6" s="2">
        <v>5</v>
      </c>
      <c r="B6" s="3" t="s">
        <v>6</v>
      </c>
      <c r="C6" s="3" t="s">
        <v>139</v>
      </c>
      <c r="D6" s="3" t="s">
        <v>343</v>
      </c>
      <c r="E6" s="2">
        <v>4</v>
      </c>
      <c r="F6" s="2">
        <v>5</v>
      </c>
      <c r="G6" s="1">
        <f>VLOOKUP(C6,Skill!C:E,3,FALSE)</f>
        <v>30</v>
      </c>
    </row>
    <row r="7" spans="1:7" x14ac:dyDescent="0.25">
      <c r="A7" s="2">
        <v>6</v>
      </c>
      <c r="B7" s="3" t="s">
        <v>6</v>
      </c>
      <c r="C7" s="3" t="s">
        <v>153</v>
      </c>
      <c r="D7" s="3" t="s">
        <v>343</v>
      </c>
      <c r="E7" s="2">
        <v>4</v>
      </c>
      <c r="F7" s="2">
        <v>6</v>
      </c>
      <c r="G7" s="1">
        <f>VLOOKUP(C7,Skill!C:E,3,FALSE)</f>
        <v>43</v>
      </c>
    </row>
    <row r="8" spans="1:7" x14ac:dyDescent="0.25">
      <c r="A8" s="2">
        <v>7</v>
      </c>
      <c r="B8" s="3" t="s">
        <v>6</v>
      </c>
      <c r="C8" s="3" t="s">
        <v>24</v>
      </c>
      <c r="D8" s="3" t="s">
        <v>343</v>
      </c>
      <c r="E8" s="2">
        <v>4</v>
      </c>
      <c r="F8" s="2">
        <v>7</v>
      </c>
      <c r="G8" s="1">
        <f>VLOOKUP(C8,Skill!C:E,3,FALSE)</f>
        <v>46</v>
      </c>
    </row>
    <row r="9" spans="1:7" x14ac:dyDescent="0.25">
      <c r="A9" s="2">
        <v>8</v>
      </c>
      <c r="B9" s="3" t="s">
        <v>6</v>
      </c>
      <c r="C9" s="3" t="s">
        <v>176</v>
      </c>
      <c r="D9" s="3" t="s">
        <v>342</v>
      </c>
      <c r="E9" s="2">
        <v>4</v>
      </c>
      <c r="F9" s="2">
        <v>8</v>
      </c>
      <c r="G9" s="1">
        <f>VLOOKUP(C9,Skill!C:E,3,FALSE)</f>
        <v>65</v>
      </c>
    </row>
    <row r="10" spans="1:7" x14ac:dyDescent="0.25">
      <c r="A10" s="2">
        <v>9</v>
      </c>
      <c r="B10" s="3" t="s">
        <v>6</v>
      </c>
      <c r="C10" s="3" t="s">
        <v>178</v>
      </c>
      <c r="D10" s="3" t="s">
        <v>342</v>
      </c>
      <c r="E10" s="2">
        <v>4</v>
      </c>
      <c r="F10" s="2">
        <v>9</v>
      </c>
      <c r="G10" s="1">
        <f>VLOOKUP(C10,Skill!C:E,3,FALSE)</f>
        <v>66</v>
      </c>
    </row>
    <row r="11" spans="1:7" x14ac:dyDescent="0.25">
      <c r="A11" s="2">
        <v>10</v>
      </c>
      <c r="B11" s="3" t="s">
        <v>6</v>
      </c>
      <c r="C11" s="3" t="s">
        <v>180</v>
      </c>
      <c r="D11" s="3" t="s">
        <v>342</v>
      </c>
      <c r="E11" s="2">
        <v>4</v>
      </c>
      <c r="F11" s="2">
        <v>10</v>
      </c>
      <c r="G11" s="1">
        <f>VLOOKUP(C11,Skill!C:E,3,FALSE)</f>
        <v>67</v>
      </c>
    </row>
    <row r="12" spans="1:7" x14ac:dyDescent="0.25">
      <c r="A12" s="2">
        <v>11</v>
      </c>
      <c r="B12" s="3" t="s">
        <v>5</v>
      </c>
      <c r="C12" s="3" t="s">
        <v>38</v>
      </c>
      <c r="D12" s="3" t="s">
        <v>343</v>
      </c>
      <c r="E12" s="2">
        <v>4</v>
      </c>
      <c r="F12" s="2">
        <v>11</v>
      </c>
      <c r="G12" s="1">
        <f>VLOOKUP(C12,Skill!C:E,3,FALSE)</f>
        <v>75</v>
      </c>
    </row>
    <row r="13" spans="1:7" x14ac:dyDescent="0.25">
      <c r="A13" s="2">
        <v>12</v>
      </c>
      <c r="B13" s="3" t="s">
        <v>5</v>
      </c>
      <c r="C13" s="3" t="s">
        <v>37</v>
      </c>
      <c r="D13" s="3" t="s">
        <v>343</v>
      </c>
      <c r="E13" s="2">
        <v>4</v>
      </c>
      <c r="F13" s="2">
        <v>12</v>
      </c>
      <c r="G13" s="1">
        <f>VLOOKUP(C13,Skill!C:E,3,FALSE)</f>
        <v>77</v>
      </c>
    </row>
    <row r="14" spans="1:7" x14ac:dyDescent="0.25">
      <c r="A14" s="2">
        <v>13</v>
      </c>
      <c r="B14" s="3" t="s">
        <v>5</v>
      </c>
      <c r="C14" s="3" t="s">
        <v>39</v>
      </c>
      <c r="D14" s="3" t="s">
        <v>343</v>
      </c>
      <c r="E14" s="2">
        <v>4</v>
      </c>
      <c r="F14" s="2">
        <v>13</v>
      </c>
      <c r="G14" s="1">
        <f>VLOOKUP(C14,Skill!C:E,3,FALSE)</f>
        <v>78</v>
      </c>
    </row>
    <row r="15" spans="1:7" x14ac:dyDescent="0.25">
      <c r="A15" s="2">
        <v>14</v>
      </c>
      <c r="B15" s="3" t="s">
        <v>5</v>
      </c>
      <c r="C15" s="3" t="s">
        <v>304</v>
      </c>
      <c r="D15" s="3" t="s">
        <v>343</v>
      </c>
      <c r="E15" s="2">
        <v>4</v>
      </c>
      <c r="F15" s="2">
        <v>14</v>
      </c>
      <c r="G15" s="1">
        <f>VLOOKUP(C15,Skill!C:E,3,FALSE)</f>
        <v>88</v>
      </c>
    </row>
    <row r="16" spans="1:7" x14ac:dyDescent="0.25">
      <c r="A16" s="2">
        <v>15</v>
      </c>
      <c r="B16" s="3" t="s">
        <v>5</v>
      </c>
      <c r="C16" s="3" t="s">
        <v>306</v>
      </c>
      <c r="D16" s="3" t="s">
        <v>343</v>
      </c>
      <c r="E16" s="2">
        <v>4</v>
      </c>
      <c r="F16" s="2">
        <v>15</v>
      </c>
      <c r="G16" s="1">
        <f>VLOOKUP(C16,Skill!C:E,3,FALSE)</f>
        <v>89</v>
      </c>
    </row>
    <row r="17" spans="1:7" x14ac:dyDescent="0.25">
      <c r="A17" s="2">
        <v>16</v>
      </c>
      <c r="B17" s="3" t="s">
        <v>5</v>
      </c>
      <c r="C17" s="3" t="s">
        <v>312</v>
      </c>
      <c r="D17" s="3" t="s">
        <v>343</v>
      </c>
      <c r="E17" s="2">
        <v>4</v>
      </c>
      <c r="F17" s="2">
        <v>16</v>
      </c>
      <c r="G17" s="1">
        <f>VLOOKUP(C17,Skill!C:E,3,FALSE)</f>
        <v>94</v>
      </c>
    </row>
    <row r="18" spans="1:7" x14ac:dyDescent="0.25">
      <c r="A18" s="2">
        <v>17</v>
      </c>
      <c r="B18" s="3" t="s">
        <v>4</v>
      </c>
      <c r="C18" s="3" t="s">
        <v>45</v>
      </c>
      <c r="D18" s="3" t="s">
        <v>343</v>
      </c>
      <c r="E18" s="2">
        <v>2</v>
      </c>
      <c r="F18" s="2">
        <v>17</v>
      </c>
      <c r="G18" s="1">
        <f>VLOOKUP(C18,Skill!C:E,3,FALSE)</f>
        <v>95</v>
      </c>
    </row>
    <row r="19" spans="1:7" x14ac:dyDescent="0.25">
      <c r="A19" s="2">
        <v>18</v>
      </c>
      <c r="B19" s="3" t="s">
        <v>4</v>
      </c>
      <c r="C19" s="3" t="s">
        <v>45</v>
      </c>
      <c r="D19" s="3" t="s">
        <v>344</v>
      </c>
      <c r="E19" s="2">
        <v>3</v>
      </c>
      <c r="F19" s="2">
        <v>18</v>
      </c>
      <c r="G19" s="1">
        <f>VLOOKUP(C19,Skill!C:E,3,FALSE)</f>
        <v>95</v>
      </c>
    </row>
    <row r="20" spans="1:7" x14ac:dyDescent="0.25">
      <c r="A20" s="2">
        <v>19</v>
      </c>
      <c r="B20" s="3" t="s">
        <v>4</v>
      </c>
      <c r="C20" s="3" t="s">
        <v>45</v>
      </c>
      <c r="D20" s="3" t="s">
        <v>342</v>
      </c>
      <c r="E20" s="2">
        <v>1</v>
      </c>
      <c r="F20" s="2">
        <v>19</v>
      </c>
      <c r="G20" s="1">
        <f>VLOOKUP(C20,Skill!C:E,3,FALSE)</f>
        <v>95</v>
      </c>
    </row>
    <row r="21" spans="1:7" x14ac:dyDescent="0.25">
      <c r="A21" s="2">
        <v>20</v>
      </c>
      <c r="B21" s="3" t="s">
        <v>4</v>
      </c>
      <c r="C21" s="3" t="s">
        <v>46</v>
      </c>
      <c r="D21" s="3" t="s">
        <v>343</v>
      </c>
      <c r="E21" s="2">
        <v>2</v>
      </c>
      <c r="F21" s="2">
        <v>20</v>
      </c>
      <c r="G21" s="1">
        <f>VLOOKUP(C21,Skill!C:E,3,FALSE)</f>
        <v>96</v>
      </c>
    </row>
    <row r="22" spans="1:7" x14ac:dyDescent="0.25">
      <c r="A22" s="2">
        <v>21</v>
      </c>
      <c r="B22" s="3" t="s">
        <v>4</v>
      </c>
      <c r="C22" s="3" t="s">
        <v>46</v>
      </c>
      <c r="D22" s="3" t="s">
        <v>344</v>
      </c>
      <c r="E22" s="2">
        <v>3</v>
      </c>
      <c r="F22" s="2">
        <v>21</v>
      </c>
      <c r="G22" s="1">
        <f>VLOOKUP(C22,Skill!C:E,3,FALSE)</f>
        <v>96</v>
      </c>
    </row>
    <row r="23" spans="1:7" x14ac:dyDescent="0.25">
      <c r="A23" s="2">
        <v>22</v>
      </c>
      <c r="B23" s="3" t="s">
        <v>4</v>
      </c>
      <c r="C23" s="3" t="s">
        <v>46</v>
      </c>
      <c r="D23" s="3" t="s">
        <v>342</v>
      </c>
      <c r="E23" s="2">
        <v>1</v>
      </c>
      <c r="F23" s="2">
        <v>22</v>
      </c>
      <c r="G23" s="1">
        <f>VLOOKUP(C23,Skill!C:E,3,FALSE)</f>
        <v>96</v>
      </c>
    </row>
    <row r="24" spans="1:7" x14ac:dyDescent="0.25">
      <c r="A24" s="2">
        <v>23</v>
      </c>
      <c r="B24" s="3" t="s">
        <v>4</v>
      </c>
      <c r="C24" s="3" t="s">
        <v>47</v>
      </c>
      <c r="D24" s="3" t="s">
        <v>345</v>
      </c>
      <c r="E24" s="2">
        <v>4</v>
      </c>
      <c r="F24" s="2">
        <v>23</v>
      </c>
      <c r="G24" s="1">
        <f>VLOOKUP(C24,Skill!C:E,3,FALSE)</f>
        <v>97</v>
      </c>
    </row>
    <row r="25" spans="1:7" x14ac:dyDescent="0.25">
      <c r="A25" s="2">
        <v>24</v>
      </c>
      <c r="B25" s="3" t="s">
        <v>4</v>
      </c>
      <c r="C25" s="3" t="s">
        <v>47</v>
      </c>
      <c r="D25" s="3" t="s">
        <v>343</v>
      </c>
      <c r="E25" s="2">
        <v>2</v>
      </c>
      <c r="F25" s="2">
        <v>24</v>
      </c>
      <c r="G25" s="1">
        <f>VLOOKUP(C25,Skill!C:E,3,FALSE)</f>
        <v>97</v>
      </c>
    </row>
    <row r="26" spans="1:7" x14ac:dyDescent="0.25">
      <c r="A26" s="2">
        <v>25</v>
      </c>
      <c r="B26" s="3" t="s">
        <v>4</v>
      </c>
      <c r="C26" s="3" t="s">
        <v>47</v>
      </c>
      <c r="D26" s="3" t="s">
        <v>346</v>
      </c>
      <c r="E26" s="2">
        <v>4</v>
      </c>
      <c r="F26" s="2">
        <v>25</v>
      </c>
      <c r="G26" s="1">
        <f>VLOOKUP(C26,Skill!C:E,3,FALSE)</f>
        <v>97</v>
      </c>
    </row>
    <row r="27" spans="1:7" x14ac:dyDescent="0.25">
      <c r="A27" s="2">
        <v>26</v>
      </c>
      <c r="B27" s="3" t="s">
        <v>4</v>
      </c>
      <c r="C27" s="3" t="s">
        <v>47</v>
      </c>
      <c r="D27" s="3" t="s">
        <v>344</v>
      </c>
      <c r="E27" s="2">
        <v>3</v>
      </c>
      <c r="F27" s="2">
        <v>26</v>
      </c>
      <c r="G27" s="1">
        <f>VLOOKUP(C27,Skill!C:E,3,FALSE)</f>
        <v>97</v>
      </c>
    </row>
    <row r="28" spans="1:7" x14ac:dyDescent="0.25">
      <c r="A28" s="2">
        <v>27</v>
      </c>
      <c r="B28" s="3" t="s">
        <v>4</v>
      </c>
      <c r="C28" s="3" t="s">
        <v>47</v>
      </c>
      <c r="D28" s="3" t="s">
        <v>342</v>
      </c>
      <c r="E28" s="2">
        <v>1</v>
      </c>
      <c r="F28" s="2">
        <v>27</v>
      </c>
      <c r="G28" s="1">
        <f>VLOOKUP(C28,Skill!C:E,3,FALSE)</f>
        <v>97</v>
      </c>
    </row>
    <row r="29" spans="1:7" x14ac:dyDescent="0.25">
      <c r="A29" s="2">
        <v>28</v>
      </c>
      <c r="B29" s="3" t="s">
        <v>4</v>
      </c>
      <c r="C29" s="3" t="s">
        <v>48</v>
      </c>
      <c r="D29" s="3" t="s">
        <v>343</v>
      </c>
      <c r="E29" s="2">
        <v>2</v>
      </c>
      <c r="F29" s="2">
        <v>28</v>
      </c>
      <c r="G29" s="1">
        <f>VLOOKUP(C29,Skill!C:E,3,FALSE)</f>
        <v>98</v>
      </c>
    </row>
    <row r="30" spans="1:7" x14ac:dyDescent="0.25">
      <c r="A30" s="2">
        <v>29</v>
      </c>
      <c r="B30" s="3" t="s">
        <v>4</v>
      </c>
      <c r="C30" s="3" t="s">
        <v>48</v>
      </c>
      <c r="D30" s="3" t="s">
        <v>344</v>
      </c>
      <c r="E30" s="2">
        <v>3</v>
      </c>
      <c r="F30" s="2">
        <v>29</v>
      </c>
      <c r="G30" s="1">
        <f>VLOOKUP(C30,Skill!C:E,3,FALSE)</f>
        <v>98</v>
      </c>
    </row>
    <row r="31" spans="1:7" x14ac:dyDescent="0.25">
      <c r="A31" s="2">
        <v>30</v>
      </c>
      <c r="B31" s="3" t="s">
        <v>4</v>
      </c>
      <c r="C31" s="3" t="s">
        <v>48</v>
      </c>
      <c r="D31" s="3" t="s">
        <v>342</v>
      </c>
      <c r="E31" s="2">
        <v>1</v>
      </c>
      <c r="F31" s="2">
        <v>30</v>
      </c>
      <c r="G31" s="1">
        <f>VLOOKUP(C31,Skill!C:E,3,FALSE)</f>
        <v>98</v>
      </c>
    </row>
    <row r="32" spans="1:7" x14ac:dyDescent="0.25">
      <c r="A32" s="2">
        <v>31</v>
      </c>
      <c r="B32" s="3" t="s">
        <v>4</v>
      </c>
      <c r="C32" s="3" t="s">
        <v>49</v>
      </c>
      <c r="D32" s="3" t="s">
        <v>343</v>
      </c>
      <c r="E32" s="2">
        <v>2</v>
      </c>
      <c r="F32" s="2">
        <v>31</v>
      </c>
      <c r="G32" s="1">
        <f>VLOOKUP(C32,Skill!C:E,3,FALSE)</f>
        <v>99</v>
      </c>
    </row>
    <row r="33" spans="1:7" x14ac:dyDescent="0.25">
      <c r="A33" s="2">
        <v>32</v>
      </c>
      <c r="B33" s="3" t="s">
        <v>4</v>
      </c>
      <c r="C33" s="3" t="s">
        <v>49</v>
      </c>
      <c r="D33" s="3" t="s">
        <v>344</v>
      </c>
      <c r="E33" s="2">
        <v>3</v>
      </c>
      <c r="F33" s="2">
        <v>32</v>
      </c>
      <c r="G33" s="1">
        <f>VLOOKUP(C33,Skill!C:E,3,FALSE)</f>
        <v>99</v>
      </c>
    </row>
    <row r="34" spans="1:7" x14ac:dyDescent="0.25">
      <c r="A34" s="2">
        <v>33</v>
      </c>
      <c r="B34" s="3" t="s">
        <v>4</v>
      </c>
      <c r="C34" s="3" t="s">
        <v>49</v>
      </c>
      <c r="D34" s="3" t="s">
        <v>342</v>
      </c>
      <c r="E34" s="2">
        <v>1</v>
      </c>
      <c r="F34" s="2">
        <v>33</v>
      </c>
      <c r="G34" s="1">
        <f>VLOOKUP(C34,Skill!C:E,3,FALSE)</f>
        <v>99</v>
      </c>
    </row>
    <row r="35" spans="1:7" x14ac:dyDescent="0.25">
      <c r="A35" s="2">
        <v>34</v>
      </c>
      <c r="B35" s="3" t="s">
        <v>4</v>
      </c>
      <c r="C35" s="3" t="s">
        <v>50</v>
      </c>
      <c r="D35" s="3" t="s">
        <v>345</v>
      </c>
      <c r="E35" s="2">
        <v>4</v>
      </c>
      <c r="F35" s="2">
        <v>34</v>
      </c>
      <c r="G35" s="1">
        <f>VLOOKUP(C35,Skill!C:E,3,FALSE)</f>
        <v>100</v>
      </c>
    </row>
    <row r="36" spans="1:7" x14ac:dyDescent="0.25">
      <c r="A36" s="2">
        <v>35</v>
      </c>
      <c r="B36" s="3" t="s">
        <v>4</v>
      </c>
      <c r="C36" s="3" t="s">
        <v>50</v>
      </c>
      <c r="D36" s="3" t="s">
        <v>343</v>
      </c>
      <c r="E36" s="2">
        <v>2</v>
      </c>
      <c r="F36" s="2">
        <v>35</v>
      </c>
      <c r="G36" s="1">
        <f>VLOOKUP(C36,Skill!C:E,3,FALSE)</f>
        <v>100</v>
      </c>
    </row>
    <row r="37" spans="1:7" x14ac:dyDescent="0.25">
      <c r="A37" s="2">
        <v>36</v>
      </c>
      <c r="B37" s="3" t="s">
        <v>4</v>
      </c>
      <c r="C37" s="3" t="s">
        <v>50</v>
      </c>
      <c r="D37" s="3" t="s">
        <v>344</v>
      </c>
      <c r="E37" s="2">
        <v>3</v>
      </c>
      <c r="F37" s="2">
        <v>36</v>
      </c>
      <c r="G37" s="1">
        <f>VLOOKUP(C37,Skill!C:E,3,FALSE)</f>
        <v>100</v>
      </c>
    </row>
    <row r="38" spans="1:7" x14ac:dyDescent="0.25">
      <c r="A38" s="2">
        <v>37</v>
      </c>
      <c r="B38" s="3" t="s">
        <v>4</v>
      </c>
      <c r="C38" s="3" t="s">
        <v>50</v>
      </c>
      <c r="D38" s="3" t="s">
        <v>342</v>
      </c>
      <c r="E38" s="2">
        <v>1</v>
      </c>
      <c r="F38" s="2">
        <v>37</v>
      </c>
      <c r="G38" s="1">
        <f>VLOOKUP(C38,Skill!C:E,3,FALSE)</f>
        <v>100</v>
      </c>
    </row>
    <row r="39" spans="1:7" x14ac:dyDescent="0.25">
      <c r="A39" s="2">
        <v>38</v>
      </c>
      <c r="B39" s="3" t="s">
        <v>4</v>
      </c>
      <c r="C39" s="3" t="s">
        <v>53</v>
      </c>
      <c r="D39" s="3" t="s">
        <v>345</v>
      </c>
      <c r="E39" s="2">
        <v>4</v>
      </c>
      <c r="F39" s="2">
        <v>38</v>
      </c>
      <c r="G39" s="1">
        <f>VLOOKUP(C39,Skill!C:E,3,FALSE)</f>
        <v>103</v>
      </c>
    </row>
    <row r="40" spans="1:7" x14ac:dyDescent="0.25">
      <c r="A40" s="2">
        <v>39</v>
      </c>
      <c r="B40" s="3" t="s">
        <v>4</v>
      </c>
      <c r="C40" s="3" t="s">
        <v>53</v>
      </c>
      <c r="D40" s="3" t="s">
        <v>343</v>
      </c>
      <c r="E40" s="2">
        <v>2</v>
      </c>
      <c r="F40" s="2">
        <v>39</v>
      </c>
      <c r="G40" s="1">
        <f>VLOOKUP(C40,Skill!C:E,3,FALSE)</f>
        <v>103</v>
      </c>
    </row>
    <row r="41" spans="1:7" x14ac:dyDescent="0.25">
      <c r="A41" s="2">
        <v>40</v>
      </c>
      <c r="B41" s="3" t="s">
        <v>4</v>
      </c>
      <c r="C41" s="3" t="s">
        <v>53</v>
      </c>
      <c r="D41" s="3" t="s">
        <v>344</v>
      </c>
      <c r="E41" s="2">
        <v>3</v>
      </c>
      <c r="F41" s="2">
        <v>40</v>
      </c>
      <c r="G41" s="1">
        <f>VLOOKUP(C41,Skill!C:E,3,FALSE)</f>
        <v>103</v>
      </c>
    </row>
    <row r="42" spans="1:7" x14ac:dyDescent="0.25">
      <c r="A42" s="2">
        <v>41</v>
      </c>
      <c r="B42" s="3" t="s">
        <v>4</v>
      </c>
      <c r="C42" s="3" t="s">
        <v>53</v>
      </c>
      <c r="D42" s="3" t="s">
        <v>342</v>
      </c>
      <c r="E42" s="2">
        <v>1</v>
      </c>
      <c r="F42" s="2">
        <v>41</v>
      </c>
      <c r="G42" s="1">
        <f>VLOOKUP(C42,Skill!C:E,3,FALSE)</f>
        <v>103</v>
      </c>
    </row>
    <row r="43" spans="1:7" x14ac:dyDescent="0.25">
      <c r="A43" s="2">
        <v>42</v>
      </c>
      <c r="B43" s="3" t="s">
        <v>4</v>
      </c>
      <c r="C43" s="3" t="s">
        <v>55</v>
      </c>
      <c r="D43" s="3" t="s">
        <v>343</v>
      </c>
      <c r="E43" s="2">
        <v>2</v>
      </c>
      <c r="F43" s="2">
        <v>42</v>
      </c>
      <c r="G43" s="1">
        <f>VLOOKUP(C43,Skill!C:E,3,FALSE)</f>
        <v>105</v>
      </c>
    </row>
    <row r="44" spans="1:7" x14ac:dyDescent="0.25">
      <c r="A44" s="2">
        <v>43</v>
      </c>
      <c r="B44" s="3" t="s">
        <v>4</v>
      </c>
      <c r="C44" s="3" t="s">
        <v>55</v>
      </c>
      <c r="D44" s="3" t="s">
        <v>344</v>
      </c>
      <c r="E44" s="2">
        <v>3</v>
      </c>
      <c r="F44" s="2">
        <v>43</v>
      </c>
      <c r="G44" s="1">
        <f>VLOOKUP(C44,Skill!C:E,3,FALSE)</f>
        <v>105</v>
      </c>
    </row>
    <row r="45" spans="1:7" x14ac:dyDescent="0.25">
      <c r="A45" s="2">
        <v>44</v>
      </c>
      <c r="B45" s="3" t="s">
        <v>4</v>
      </c>
      <c r="C45" s="3" t="s">
        <v>55</v>
      </c>
      <c r="D45" s="3" t="s">
        <v>342</v>
      </c>
      <c r="E45" s="2">
        <v>1</v>
      </c>
      <c r="F45" s="2">
        <v>44</v>
      </c>
      <c r="G45" s="1">
        <f>VLOOKUP(C45,Skill!C:E,3,FALSE)</f>
        <v>105</v>
      </c>
    </row>
    <row r="46" spans="1:7" x14ac:dyDescent="0.25">
      <c r="A46" s="2">
        <v>45</v>
      </c>
      <c r="B46" s="3" t="s">
        <v>4</v>
      </c>
      <c r="C46" s="3" t="s">
        <v>54</v>
      </c>
      <c r="D46" s="3" t="s">
        <v>345</v>
      </c>
      <c r="E46" s="2">
        <v>4</v>
      </c>
      <c r="F46" s="2">
        <v>45</v>
      </c>
      <c r="G46" s="1">
        <f>VLOOKUP(C46,Skill!C:E,3,FALSE)</f>
        <v>104</v>
      </c>
    </row>
    <row r="47" spans="1:7" x14ac:dyDescent="0.25">
      <c r="A47" s="2">
        <v>46</v>
      </c>
      <c r="B47" s="3" t="s">
        <v>4</v>
      </c>
      <c r="C47" s="3" t="s">
        <v>54</v>
      </c>
      <c r="D47" s="3" t="s">
        <v>343</v>
      </c>
      <c r="E47" s="2">
        <v>2</v>
      </c>
      <c r="F47" s="2">
        <v>46</v>
      </c>
      <c r="G47" s="1">
        <f>VLOOKUP(C47,Skill!C:E,3,FALSE)</f>
        <v>104</v>
      </c>
    </row>
    <row r="48" spans="1:7" x14ac:dyDescent="0.25">
      <c r="A48" s="2">
        <v>47</v>
      </c>
      <c r="B48" s="3" t="s">
        <v>4</v>
      </c>
      <c r="C48" s="3" t="s">
        <v>54</v>
      </c>
      <c r="D48" s="3" t="s">
        <v>344</v>
      </c>
      <c r="E48" s="2">
        <v>3</v>
      </c>
      <c r="F48" s="2">
        <v>47</v>
      </c>
      <c r="G48" s="1">
        <f>VLOOKUP(C48,Skill!C:E,3,FALSE)</f>
        <v>104</v>
      </c>
    </row>
    <row r="49" spans="1:7" x14ac:dyDescent="0.25">
      <c r="A49" s="2">
        <v>48</v>
      </c>
      <c r="B49" s="3" t="s">
        <v>4</v>
      </c>
      <c r="C49" s="3" t="s">
        <v>54</v>
      </c>
      <c r="D49" s="3" t="s">
        <v>342</v>
      </c>
      <c r="E49" s="2">
        <v>1</v>
      </c>
      <c r="F49" s="2">
        <v>48</v>
      </c>
      <c r="G49" s="1">
        <f>VLOOKUP(C49,Skill!C:E,3,FALSE)</f>
        <v>104</v>
      </c>
    </row>
    <row r="50" spans="1:7" x14ac:dyDescent="0.25">
      <c r="A50" s="2">
        <v>49</v>
      </c>
      <c r="B50" s="3" t="s">
        <v>4</v>
      </c>
      <c r="C50" s="3" t="s">
        <v>52</v>
      </c>
      <c r="D50" s="3" t="s">
        <v>343</v>
      </c>
      <c r="E50" s="2">
        <v>2</v>
      </c>
      <c r="F50" s="2">
        <v>49</v>
      </c>
      <c r="G50" s="1">
        <f>VLOOKUP(C50,Skill!C:E,3,FALSE)</f>
        <v>102</v>
      </c>
    </row>
    <row r="51" spans="1:7" x14ac:dyDescent="0.25">
      <c r="A51" s="2">
        <v>50</v>
      </c>
      <c r="B51" s="3" t="s">
        <v>4</v>
      </c>
      <c r="C51" s="3" t="s">
        <v>52</v>
      </c>
      <c r="D51" s="3" t="s">
        <v>346</v>
      </c>
      <c r="E51" s="2">
        <v>4</v>
      </c>
      <c r="F51" s="2">
        <v>50</v>
      </c>
      <c r="G51" s="1">
        <f>VLOOKUP(C51,Skill!C:E,3,FALSE)</f>
        <v>102</v>
      </c>
    </row>
    <row r="52" spans="1:7" x14ac:dyDescent="0.25">
      <c r="A52" s="2">
        <v>51</v>
      </c>
      <c r="B52" s="3" t="s">
        <v>4</v>
      </c>
      <c r="C52" s="3" t="s">
        <v>52</v>
      </c>
      <c r="D52" s="3" t="s">
        <v>344</v>
      </c>
      <c r="E52" s="2">
        <v>3</v>
      </c>
      <c r="F52" s="2">
        <v>51</v>
      </c>
      <c r="G52" s="1">
        <f>VLOOKUP(C52,Skill!C:E,3,FALSE)</f>
        <v>102</v>
      </c>
    </row>
    <row r="53" spans="1:7" x14ac:dyDescent="0.25">
      <c r="A53" s="2">
        <v>52</v>
      </c>
      <c r="B53" s="3" t="s">
        <v>4</v>
      </c>
      <c r="C53" s="3" t="s">
        <v>52</v>
      </c>
      <c r="D53" s="3" t="s">
        <v>342</v>
      </c>
      <c r="E53" s="2">
        <v>1</v>
      </c>
      <c r="F53" s="2">
        <v>52</v>
      </c>
      <c r="G53" s="1">
        <f>VLOOKUP(C53,Skill!C:E,3,FALSE)</f>
        <v>102</v>
      </c>
    </row>
    <row r="54" spans="1:7" x14ac:dyDescent="0.25">
      <c r="A54" s="2">
        <v>53</v>
      </c>
      <c r="B54" s="3" t="s">
        <v>3</v>
      </c>
      <c r="C54" s="3" t="s">
        <v>57</v>
      </c>
      <c r="D54" s="3" t="s">
        <v>343</v>
      </c>
      <c r="E54" s="2">
        <v>2</v>
      </c>
      <c r="F54" s="2">
        <v>53</v>
      </c>
      <c r="G54" s="1">
        <f>VLOOKUP(C54,Skill!C:E,3,FALSE)</f>
        <v>107</v>
      </c>
    </row>
    <row r="55" spans="1:7" x14ac:dyDescent="0.25">
      <c r="A55" s="2">
        <v>54</v>
      </c>
      <c r="B55" s="3" t="s">
        <v>3</v>
      </c>
      <c r="C55" s="3" t="s">
        <v>58</v>
      </c>
      <c r="D55" s="3" t="s">
        <v>343</v>
      </c>
      <c r="E55" s="2">
        <v>2</v>
      </c>
      <c r="F55" s="2">
        <v>54</v>
      </c>
      <c r="G55" s="1">
        <f>VLOOKUP(C55,Skill!C:E,3,FALSE)</f>
        <v>108</v>
      </c>
    </row>
    <row r="56" spans="1:7" x14ac:dyDescent="0.25">
      <c r="A56" s="2">
        <v>55</v>
      </c>
      <c r="B56" s="3" t="s">
        <v>3</v>
      </c>
      <c r="C56" s="3" t="s">
        <v>59</v>
      </c>
      <c r="D56" s="3" t="s">
        <v>343</v>
      </c>
      <c r="E56" s="2">
        <v>2</v>
      </c>
      <c r="F56" s="2">
        <v>55</v>
      </c>
      <c r="G56" s="1">
        <f>VLOOKUP(C56,Skill!C:E,3,FALSE)</f>
        <v>109</v>
      </c>
    </row>
    <row r="57" spans="1:7" x14ac:dyDescent="0.25">
      <c r="A57" s="2">
        <v>56</v>
      </c>
      <c r="B57" s="3" t="s">
        <v>3</v>
      </c>
      <c r="C57" s="3" t="s">
        <v>60</v>
      </c>
      <c r="D57" s="3" t="s">
        <v>343</v>
      </c>
      <c r="E57" s="2">
        <v>2</v>
      </c>
      <c r="F57" s="2">
        <v>56</v>
      </c>
      <c r="G57" s="1">
        <f>VLOOKUP(C57,Skill!C:E,3,FALSE)</f>
        <v>110</v>
      </c>
    </row>
    <row r="58" spans="1:7" x14ac:dyDescent="0.25">
      <c r="A58" s="2">
        <v>57</v>
      </c>
      <c r="B58" s="3" t="s">
        <v>3</v>
      </c>
      <c r="C58" s="3" t="s">
        <v>61</v>
      </c>
      <c r="D58" s="3" t="s">
        <v>343</v>
      </c>
      <c r="E58" s="2">
        <v>2</v>
      </c>
      <c r="F58" s="2">
        <v>57</v>
      </c>
      <c r="G58" s="1">
        <f>VLOOKUP(C58,Skill!C:E,3,FALSE)</f>
        <v>111</v>
      </c>
    </row>
    <row r="59" spans="1:7" x14ac:dyDescent="0.25">
      <c r="A59" s="2">
        <v>58</v>
      </c>
      <c r="B59" s="3" t="s">
        <v>3</v>
      </c>
      <c r="C59" s="3" t="s">
        <v>62</v>
      </c>
      <c r="D59" s="3" t="s">
        <v>343</v>
      </c>
      <c r="E59" s="2">
        <v>2</v>
      </c>
      <c r="F59" s="2">
        <v>58</v>
      </c>
      <c r="G59" s="1">
        <f>VLOOKUP(C59,Skill!C:E,3,FALSE)</f>
        <v>112</v>
      </c>
    </row>
    <row r="60" spans="1:7" x14ac:dyDescent="0.25">
      <c r="A60" s="2">
        <v>59</v>
      </c>
      <c r="B60" s="3" t="s">
        <v>3</v>
      </c>
      <c r="C60" s="3" t="s">
        <v>63</v>
      </c>
      <c r="D60" s="3" t="s">
        <v>343</v>
      </c>
      <c r="E60" s="2">
        <v>2</v>
      </c>
      <c r="F60" s="2">
        <v>59</v>
      </c>
      <c r="G60" s="1">
        <f>VLOOKUP(C60,Skill!C:E,3,FALSE)</f>
        <v>114</v>
      </c>
    </row>
    <row r="61" spans="1:7" x14ac:dyDescent="0.25">
      <c r="A61" s="2">
        <v>60</v>
      </c>
      <c r="B61" s="3" t="s">
        <v>3</v>
      </c>
      <c r="C61" s="3" t="s">
        <v>64</v>
      </c>
      <c r="D61" s="3" t="s">
        <v>343</v>
      </c>
      <c r="E61" s="2">
        <v>2</v>
      </c>
      <c r="F61" s="2">
        <v>60</v>
      </c>
      <c r="G61" s="1">
        <f>VLOOKUP(C61,Skill!C:E,3,FALSE)</f>
        <v>115</v>
      </c>
    </row>
    <row r="62" spans="1:7" x14ac:dyDescent="0.25">
      <c r="A62" s="2">
        <v>61</v>
      </c>
      <c r="B62" s="3" t="s">
        <v>3</v>
      </c>
      <c r="C62" s="3" t="s">
        <v>66</v>
      </c>
      <c r="D62" s="3" t="s">
        <v>343</v>
      </c>
      <c r="E62" s="2">
        <v>2</v>
      </c>
      <c r="F62" s="2">
        <v>61</v>
      </c>
      <c r="G62" s="1">
        <f>VLOOKUP(C62,Skill!C:E,3,FALSE)</f>
        <v>117</v>
      </c>
    </row>
    <row r="63" spans="1:7" x14ac:dyDescent="0.25">
      <c r="A63" s="2">
        <v>62</v>
      </c>
      <c r="B63" s="3" t="s">
        <v>3</v>
      </c>
      <c r="C63" s="3" t="s">
        <v>65</v>
      </c>
      <c r="D63" s="3" t="s">
        <v>343</v>
      </c>
      <c r="E63" s="2">
        <v>2</v>
      </c>
      <c r="F63" s="2">
        <v>62</v>
      </c>
      <c r="G63" s="1">
        <f>VLOOKUP(C63,Skill!C:E,3,FALSE)</f>
        <v>116</v>
      </c>
    </row>
    <row r="64" spans="1:7" x14ac:dyDescent="0.25">
      <c r="A64" s="2">
        <v>63</v>
      </c>
      <c r="B64" s="3" t="s">
        <v>2</v>
      </c>
      <c r="C64" s="3" t="s">
        <v>72</v>
      </c>
      <c r="D64" s="3" t="s">
        <v>343</v>
      </c>
      <c r="E64" s="2">
        <v>4</v>
      </c>
      <c r="F64" s="2">
        <v>63</v>
      </c>
      <c r="G64" s="1">
        <f>VLOOKUP(C64,Skill!C:E,3,FALSE)</f>
        <v>146</v>
      </c>
    </row>
    <row r="65" spans="1:7" x14ac:dyDescent="0.25">
      <c r="A65" s="2">
        <v>64</v>
      </c>
      <c r="B65" s="3" t="s">
        <v>2</v>
      </c>
      <c r="C65" s="3" t="s">
        <v>73</v>
      </c>
      <c r="D65" s="3" t="s">
        <v>343</v>
      </c>
      <c r="E65" s="2">
        <v>4</v>
      </c>
      <c r="F65" s="2">
        <v>64</v>
      </c>
      <c r="G65" s="1">
        <f>VLOOKUP(C65,Skill!C:E,3,FALSE)</f>
        <v>147</v>
      </c>
    </row>
    <row r="66" spans="1:7" x14ac:dyDescent="0.25">
      <c r="A66" s="2">
        <v>65</v>
      </c>
      <c r="B66" s="3" t="s">
        <v>2</v>
      </c>
      <c r="C66" s="3" t="s">
        <v>74</v>
      </c>
      <c r="D66" s="3" t="s">
        <v>343</v>
      </c>
      <c r="E66" s="2">
        <v>4</v>
      </c>
      <c r="F66" s="2">
        <v>65</v>
      </c>
      <c r="G66" s="1">
        <f>VLOOKUP(C66,Skill!C:E,3,FALSE)</f>
        <v>148</v>
      </c>
    </row>
    <row r="67" spans="1:7" x14ac:dyDescent="0.25">
      <c r="A67" s="2">
        <v>66</v>
      </c>
      <c r="B67" s="3" t="s">
        <v>2</v>
      </c>
      <c r="C67" s="3" t="s">
        <v>266</v>
      </c>
      <c r="D67" s="3" t="s">
        <v>343</v>
      </c>
      <c r="E67" s="2">
        <v>4</v>
      </c>
      <c r="F67" s="2">
        <v>66</v>
      </c>
      <c r="G67" s="1">
        <f>VLOOKUP(C67,Skill!C:E,3,FALSE)</f>
        <v>149</v>
      </c>
    </row>
    <row r="68" spans="1:7" x14ac:dyDescent="0.25">
      <c r="A68" s="2">
        <v>67</v>
      </c>
      <c r="B68" s="3" t="s">
        <v>1</v>
      </c>
      <c r="C68" s="3" t="s">
        <v>89</v>
      </c>
      <c r="D68" s="3" t="s">
        <v>343</v>
      </c>
      <c r="E68" s="2">
        <v>4</v>
      </c>
      <c r="F68" s="2">
        <v>67</v>
      </c>
      <c r="G68" s="1">
        <f>VLOOKUP(C68,Skill!C:E,3,FALSE)</f>
        <v>195</v>
      </c>
    </row>
    <row r="69" spans="1:7" x14ac:dyDescent="0.25">
      <c r="A69" s="2">
        <v>68</v>
      </c>
      <c r="B69" s="3" t="s">
        <v>1</v>
      </c>
      <c r="C69" s="3" t="s">
        <v>91</v>
      </c>
      <c r="D69" s="3" t="s">
        <v>343</v>
      </c>
      <c r="E69" s="2">
        <v>4</v>
      </c>
      <c r="F69" s="2">
        <v>68</v>
      </c>
      <c r="G69" s="1">
        <f>VLOOKUP(C69,Skill!C:E,3,FALSE)</f>
        <v>193</v>
      </c>
    </row>
    <row r="70" spans="1:7" x14ac:dyDescent="0.25">
      <c r="A70" s="2">
        <v>69</v>
      </c>
      <c r="B70" s="3" t="s">
        <v>0</v>
      </c>
      <c r="C70" s="3" t="s">
        <v>92</v>
      </c>
      <c r="D70" s="3" t="s">
        <v>343</v>
      </c>
      <c r="E70" s="2">
        <v>4</v>
      </c>
      <c r="F70" s="2">
        <v>69</v>
      </c>
      <c r="G70" s="1">
        <f>VLOOKUP(C70,Skill!C:E,3,FALSE)</f>
        <v>216</v>
      </c>
    </row>
    <row r="71" spans="1:7" x14ac:dyDescent="0.25">
      <c r="A71" s="2">
        <v>70</v>
      </c>
      <c r="B71" s="3" t="s">
        <v>0</v>
      </c>
      <c r="C71" s="3" t="s">
        <v>92</v>
      </c>
      <c r="D71" s="3" t="s">
        <v>347</v>
      </c>
      <c r="E71" s="2">
        <v>4</v>
      </c>
      <c r="F71" s="2">
        <v>70</v>
      </c>
      <c r="G71" s="1">
        <f>VLOOKUP(C71,Skill!C:E,3,FALSE)</f>
        <v>216</v>
      </c>
    </row>
    <row r="72" spans="1:7" x14ac:dyDescent="0.25">
      <c r="A72" s="2">
        <v>71</v>
      </c>
      <c r="B72" s="3" t="s">
        <v>0</v>
      </c>
      <c r="C72" s="3" t="s">
        <v>92</v>
      </c>
      <c r="D72" s="3" t="s">
        <v>342</v>
      </c>
      <c r="E72" s="2">
        <v>2</v>
      </c>
      <c r="F72" s="2">
        <v>71</v>
      </c>
      <c r="G72" s="1">
        <f>VLOOKUP(C72,Skill!C:E,3,FALSE)</f>
        <v>216</v>
      </c>
    </row>
    <row r="73" spans="1:7" x14ac:dyDescent="0.25">
      <c r="A73" s="2">
        <v>72</v>
      </c>
      <c r="B73" s="3" t="s">
        <v>0</v>
      </c>
      <c r="C73" s="3" t="s">
        <v>93</v>
      </c>
      <c r="D73" s="3" t="s">
        <v>343</v>
      </c>
      <c r="E73" s="2">
        <v>4</v>
      </c>
      <c r="F73" s="2">
        <v>72</v>
      </c>
      <c r="G73" s="1">
        <f>VLOOKUP(C73,Skill!C:E,3,FALSE)</f>
        <v>217</v>
      </c>
    </row>
    <row r="74" spans="1:7" x14ac:dyDescent="0.25">
      <c r="A74" s="2">
        <v>73</v>
      </c>
      <c r="B74" s="3" t="s">
        <v>0</v>
      </c>
      <c r="C74" s="3" t="s">
        <v>93</v>
      </c>
      <c r="D74" s="3" t="s">
        <v>342</v>
      </c>
      <c r="E74" s="2">
        <v>4</v>
      </c>
      <c r="F74" s="2">
        <v>73</v>
      </c>
      <c r="G74" s="1">
        <f>VLOOKUP(C74,Skill!C:E,3,FALSE)</f>
        <v>217</v>
      </c>
    </row>
    <row r="75" spans="1:7" x14ac:dyDescent="0.25">
      <c r="A75" s="2">
        <v>74</v>
      </c>
      <c r="B75" s="3" t="s">
        <v>0</v>
      </c>
      <c r="C75" s="3" t="s">
        <v>284</v>
      </c>
      <c r="D75" s="3" t="s">
        <v>343</v>
      </c>
      <c r="E75" s="2">
        <v>4</v>
      </c>
      <c r="F75" s="2">
        <v>74</v>
      </c>
      <c r="G75" s="1">
        <f>VLOOKUP(C75,Skill!C:E,3,FALSE)</f>
        <v>220</v>
      </c>
    </row>
  </sheetData>
  <phoneticPr fontId="2"/>
  <pageMargins left="0.75" right="0.75" top="1" bottom="1" header="0.5" footer="0.5"/>
  <pageSetup paperSize="9" orientation="portrait" r:id="rId1"/>
  <headerFooter>
    <oddHeader>&amp;R&amp;D &amp;T</oddHeader>
    <oddFooter>&amp;C&amp;P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F441-215C-4472-BE50-4512DCBDC0EE}">
  <dimension ref="A1:E80"/>
  <sheetViews>
    <sheetView workbookViewId="0">
      <selection activeCell="C64" sqref="C64:C66"/>
    </sheetView>
  </sheetViews>
  <sheetFormatPr defaultRowHeight="15.75" x14ac:dyDescent="0.25"/>
  <cols>
    <col min="2" max="2" width="18.44140625" bestFit="1" customWidth="1"/>
    <col min="3" max="3" width="26.6640625" bestFit="1" customWidth="1"/>
  </cols>
  <sheetData>
    <row r="1" spans="1:5" x14ac:dyDescent="0.25">
      <c r="A1" s="5" t="s">
        <v>11</v>
      </c>
      <c r="B1" s="5" t="s">
        <v>10</v>
      </c>
      <c r="C1" s="5" t="s">
        <v>9</v>
      </c>
      <c r="D1" s="5" t="s">
        <v>7</v>
      </c>
      <c r="E1" s="25" t="s">
        <v>337</v>
      </c>
    </row>
    <row r="2" spans="1:5" x14ac:dyDescent="0.25">
      <c r="A2" s="6">
        <v>1</v>
      </c>
      <c r="B2" s="7" t="s">
        <v>12</v>
      </c>
      <c r="C2" s="7" t="s">
        <v>13</v>
      </c>
      <c r="D2" s="6">
        <v>1</v>
      </c>
      <c r="E2" s="1">
        <f>VLOOKUP(C2,Skill!C:E,3,FALSE)</f>
        <v>8</v>
      </c>
    </row>
    <row r="3" spans="1:5" x14ac:dyDescent="0.25">
      <c r="A3" s="6">
        <v>2</v>
      </c>
      <c r="B3" s="7" t="s">
        <v>12</v>
      </c>
      <c r="C3" s="7" t="s">
        <v>14</v>
      </c>
      <c r="D3" s="6">
        <v>2</v>
      </c>
      <c r="E3" s="1">
        <f>VLOOKUP(C3,Skill!C:E,3,FALSE)</f>
        <v>9</v>
      </c>
    </row>
    <row r="4" spans="1:5" x14ac:dyDescent="0.25">
      <c r="A4" s="6">
        <v>3</v>
      </c>
      <c r="B4" s="7" t="s">
        <v>6</v>
      </c>
      <c r="C4" s="7" t="s">
        <v>15</v>
      </c>
      <c r="D4" s="6">
        <v>3</v>
      </c>
      <c r="E4" s="1">
        <f>VLOOKUP(C4,Skill!C:E,3,FALSE)</f>
        <v>22</v>
      </c>
    </row>
    <row r="5" spans="1:5" x14ac:dyDescent="0.25">
      <c r="A5" s="6">
        <v>4</v>
      </c>
      <c r="B5" s="7" t="s">
        <v>6</v>
      </c>
      <c r="C5" s="7" t="s">
        <v>16</v>
      </c>
      <c r="D5" s="6">
        <v>4</v>
      </c>
      <c r="E5" s="1">
        <f>VLOOKUP(C5,Skill!C:E,3,FALSE)</f>
        <v>23</v>
      </c>
    </row>
    <row r="6" spans="1:5" x14ac:dyDescent="0.25">
      <c r="A6" s="6">
        <v>5</v>
      </c>
      <c r="B6" s="7" t="s">
        <v>6</v>
      </c>
      <c r="C6" s="7" t="s">
        <v>17</v>
      </c>
      <c r="D6" s="6">
        <v>5</v>
      </c>
      <c r="E6" s="1">
        <f>VLOOKUP(C6,Skill!C:E,3,FALSE)</f>
        <v>25</v>
      </c>
    </row>
    <row r="7" spans="1:5" x14ac:dyDescent="0.25">
      <c r="A7" s="6">
        <v>6</v>
      </c>
      <c r="B7" s="7" t="s">
        <v>6</v>
      </c>
      <c r="C7" s="7" t="s">
        <v>18</v>
      </c>
      <c r="D7" s="6">
        <v>6</v>
      </c>
      <c r="E7" s="1">
        <f>VLOOKUP(C7,Skill!C:E,3,FALSE)</f>
        <v>24</v>
      </c>
    </row>
    <row r="8" spans="1:5" x14ac:dyDescent="0.25">
      <c r="A8" s="6">
        <v>7</v>
      </c>
      <c r="B8" s="7" t="s">
        <v>6</v>
      </c>
      <c r="C8" s="7" t="s">
        <v>19</v>
      </c>
      <c r="D8" s="6">
        <v>7</v>
      </c>
      <c r="E8" s="1">
        <f>VLOOKUP(C8,Skill!C:E,3,FALSE)</f>
        <v>28</v>
      </c>
    </row>
    <row r="9" spans="1:5" x14ac:dyDescent="0.25">
      <c r="A9" s="6">
        <v>8</v>
      </c>
      <c r="B9" s="7" t="s">
        <v>6</v>
      </c>
      <c r="C9" s="7" t="s">
        <v>20</v>
      </c>
      <c r="D9" s="6">
        <v>8</v>
      </c>
      <c r="E9" s="1">
        <f>VLOOKUP(C9,Skill!C:E,3,FALSE)</f>
        <v>33</v>
      </c>
    </row>
    <row r="10" spans="1:5" x14ac:dyDescent="0.25">
      <c r="A10" s="6">
        <v>9</v>
      </c>
      <c r="B10" s="7" t="s">
        <v>6</v>
      </c>
      <c r="C10" s="7" t="s">
        <v>21</v>
      </c>
      <c r="D10" s="6">
        <v>9</v>
      </c>
      <c r="E10" s="1">
        <f>VLOOKUP(C10,Skill!C:E,3,FALSE)</f>
        <v>34</v>
      </c>
    </row>
    <row r="11" spans="1:5" x14ac:dyDescent="0.25">
      <c r="A11" s="6">
        <v>10</v>
      </c>
      <c r="B11" s="7" t="s">
        <v>6</v>
      </c>
      <c r="C11" s="7" t="s">
        <v>22</v>
      </c>
      <c r="D11" s="6">
        <v>10</v>
      </c>
      <c r="E11" s="1">
        <f>VLOOKUP(C11,Skill!C:E,3,FALSE)</f>
        <v>37</v>
      </c>
    </row>
    <row r="12" spans="1:5" x14ac:dyDescent="0.25">
      <c r="A12" s="6">
        <v>11</v>
      </c>
      <c r="B12" s="7" t="s">
        <v>6</v>
      </c>
      <c r="C12" s="7" t="s">
        <v>23</v>
      </c>
      <c r="D12" s="6">
        <v>11</v>
      </c>
      <c r="E12" s="1">
        <f>VLOOKUP(C12,Skill!C:E,3,FALSE)</f>
        <v>38</v>
      </c>
    </row>
    <row r="13" spans="1:5" x14ac:dyDescent="0.25">
      <c r="A13" s="6">
        <v>12</v>
      </c>
      <c r="B13" s="7" t="s">
        <v>6</v>
      </c>
      <c r="C13" s="7" t="s">
        <v>24</v>
      </c>
      <c r="D13" s="6">
        <v>12</v>
      </c>
      <c r="E13" s="1">
        <f>VLOOKUP(C13,Skill!C:E,3,FALSE)</f>
        <v>46</v>
      </c>
    </row>
    <row r="14" spans="1:5" x14ac:dyDescent="0.25">
      <c r="A14" s="6">
        <v>13</v>
      </c>
      <c r="B14" s="7" t="s">
        <v>6</v>
      </c>
      <c r="C14" s="7" t="s">
        <v>25</v>
      </c>
      <c r="D14" s="6">
        <v>13</v>
      </c>
      <c r="E14" s="1">
        <f>VLOOKUP(C14,Skill!C:E,3,FALSE)</f>
        <v>47</v>
      </c>
    </row>
    <row r="15" spans="1:5" x14ac:dyDescent="0.25">
      <c r="A15" s="6">
        <v>14</v>
      </c>
      <c r="B15" s="7" t="s">
        <v>6</v>
      </c>
      <c r="C15" s="7" t="s">
        <v>26</v>
      </c>
      <c r="D15" s="6">
        <v>14</v>
      </c>
      <c r="E15" s="1">
        <f>VLOOKUP(C15,Skill!C:E,3,FALSE)</f>
        <v>49</v>
      </c>
    </row>
    <row r="16" spans="1:5" x14ac:dyDescent="0.25">
      <c r="A16" s="6">
        <v>15</v>
      </c>
      <c r="B16" s="7" t="s">
        <v>6</v>
      </c>
      <c r="C16" s="7" t="s">
        <v>27</v>
      </c>
      <c r="D16" s="6">
        <v>15</v>
      </c>
      <c r="E16" s="1">
        <f>VLOOKUP(C16,Skill!C:E,3,FALSE)</f>
        <v>50</v>
      </c>
    </row>
    <row r="17" spans="1:5" x14ac:dyDescent="0.25">
      <c r="A17" s="6">
        <v>16</v>
      </c>
      <c r="B17" s="7" t="s">
        <v>6</v>
      </c>
      <c r="C17" s="7" t="s">
        <v>28</v>
      </c>
      <c r="D17" s="6">
        <v>16</v>
      </c>
      <c r="E17" s="1">
        <f>VLOOKUP(C17,Skill!C:E,3,FALSE)</f>
        <v>51</v>
      </c>
    </row>
    <row r="18" spans="1:5" x14ac:dyDescent="0.25">
      <c r="A18" s="6">
        <v>17</v>
      </c>
      <c r="B18" s="7" t="s">
        <v>6</v>
      </c>
      <c r="C18" s="7" t="s">
        <v>29</v>
      </c>
      <c r="D18" s="6">
        <v>17</v>
      </c>
      <c r="E18" s="1">
        <f>VLOOKUP(C18,Skill!C:E,3,FALSE)</f>
        <v>54</v>
      </c>
    </row>
    <row r="19" spans="1:5" x14ac:dyDescent="0.25">
      <c r="A19" s="6">
        <v>18</v>
      </c>
      <c r="B19" s="7" t="s">
        <v>6</v>
      </c>
      <c r="C19" s="7" t="s">
        <v>30</v>
      </c>
      <c r="D19" s="6">
        <v>18</v>
      </c>
      <c r="E19" s="1">
        <f>VLOOKUP(C19,Skill!C:E,3,FALSE)</f>
        <v>56</v>
      </c>
    </row>
    <row r="20" spans="1:5" x14ac:dyDescent="0.25">
      <c r="A20" s="6">
        <v>19</v>
      </c>
      <c r="B20" s="7" t="s">
        <v>6</v>
      </c>
      <c r="C20" s="7" t="s">
        <v>31</v>
      </c>
      <c r="D20" s="6">
        <v>19</v>
      </c>
      <c r="E20" s="1">
        <f>VLOOKUP(C20,Skill!C:E,3,FALSE)</f>
        <v>59</v>
      </c>
    </row>
    <row r="21" spans="1:5" x14ac:dyDescent="0.25">
      <c r="A21" s="6">
        <v>20</v>
      </c>
      <c r="B21" s="7" t="s">
        <v>6</v>
      </c>
      <c r="C21" s="7" t="s">
        <v>32</v>
      </c>
      <c r="D21" s="6">
        <v>20</v>
      </c>
      <c r="E21" s="1">
        <f>VLOOKUP(C21,Skill!C:E,3,FALSE)</f>
        <v>60</v>
      </c>
    </row>
    <row r="22" spans="1:5" x14ac:dyDescent="0.25">
      <c r="A22" s="6">
        <v>21</v>
      </c>
      <c r="B22" s="7" t="s">
        <v>6</v>
      </c>
      <c r="C22" s="7" t="s">
        <v>33</v>
      </c>
      <c r="D22" s="6">
        <v>21</v>
      </c>
      <c r="E22" s="1">
        <f>VLOOKUP(C22,Skill!C:E,3,FALSE)</f>
        <v>62</v>
      </c>
    </row>
    <row r="23" spans="1:5" x14ac:dyDescent="0.25">
      <c r="A23" s="6">
        <v>22</v>
      </c>
      <c r="B23" s="7" t="s">
        <v>6</v>
      </c>
      <c r="C23" s="7" t="s">
        <v>34</v>
      </c>
      <c r="D23" s="6">
        <v>22</v>
      </c>
      <c r="E23" s="1">
        <f>VLOOKUP(C23,Skill!C:E,3,FALSE)</f>
        <v>64</v>
      </c>
    </row>
    <row r="24" spans="1:5" x14ac:dyDescent="0.25">
      <c r="A24" s="6">
        <v>23</v>
      </c>
      <c r="B24" s="7" t="s">
        <v>5</v>
      </c>
      <c r="C24" s="7" t="s">
        <v>35</v>
      </c>
      <c r="D24" s="6">
        <v>23</v>
      </c>
      <c r="E24" s="1">
        <f>VLOOKUP(C24,Skill!C:E,3,FALSE)</f>
        <v>87</v>
      </c>
    </row>
    <row r="25" spans="1:5" x14ac:dyDescent="0.25">
      <c r="A25" s="6">
        <v>24</v>
      </c>
      <c r="B25" s="7" t="s">
        <v>5</v>
      </c>
      <c r="C25" s="7" t="s">
        <v>36</v>
      </c>
      <c r="D25" s="6">
        <v>24</v>
      </c>
      <c r="E25" s="1">
        <f>VLOOKUP(C25,Skill!C:E,3,FALSE)</f>
        <v>85</v>
      </c>
    </row>
    <row r="26" spans="1:5" x14ac:dyDescent="0.25">
      <c r="A26" s="6">
        <v>25</v>
      </c>
      <c r="B26" s="7" t="s">
        <v>5</v>
      </c>
      <c r="C26" s="7" t="s">
        <v>37</v>
      </c>
      <c r="D26" s="6">
        <v>25</v>
      </c>
      <c r="E26" s="1">
        <f>VLOOKUP(C26,Skill!C:E,3,FALSE)</f>
        <v>77</v>
      </c>
    </row>
    <row r="27" spans="1:5" x14ac:dyDescent="0.25">
      <c r="A27" s="6">
        <v>26</v>
      </c>
      <c r="B27" s="7" t="s">
        <v>5</v>
      </c>
      <c r="C27" s="7" t="s">
        <v>38</v>
      </c>
      <c r="D27" s="6">
        <v>26</v>
      </c>
      <c r="E27" s="1">
        <f>VLOOKUP(C27,Skill!C:E,3,FALSE)</f>
        <v>75</v>
      </c>
    </row>
    <row r="28" spans="1:5" x14ac:dyDescent="0.25">
      <c r="A28" s="6">
        <v>27</v>
      </c>
      <c r="B28" s="7" t="s">
        <v>5</v>
      </c>
      <c r="C28" s="7" t="s">
        <v>39</v>
      </c>
      <c r="D28" s="6">
        <v>27</v>
      </c>
      <c r="E28" s="1">
        <f>VLOOKUP(C28,Skill!C:E,3,FALSE)</f>
        <v>78</v>
      </c>
    </row>
    <row r="29" spans="1:5" x14ac:dyDescent="0.25">
      <c r="A29" s="6">
        <v>28</v>
      </c>
      <c r="B29" s="7" t="s">
        <v>5</v>
      </c>
      <c r="C29" s="7" t="s">
        <v>40</v>
      </c>
      <c r="D29" s="6">
        <v>28</v>
      </c>
      <c r="E29" s="1">
        <f>VLOOKUP(C29,Skill!C:E,3,FALSE)</f>
        <v>80</v>
      </c>
    </row>
    <row r="30" spans="1:5" x14ac:dyDescent="0.25">
      <c r="A30" s="6">
        <v>29</v>
      </c>
      <c r="B30" s="7" t="s">
        <v>5</v>
      </c>
      <c r="C30" s="7" t="s">
        <v>41</v>
      </c>
      <c r="D30" s="6">
        <v>29</v>
      </c>
      <c r="E30" s="1">
        <f>VLOOKUP(C30,Skill!C:E,3,FALSE)</f>
        <v>84</v>
      </c>
    </row>
    <row r="31" spans="1:5" x14ac:dyDescent="0.25">
      <c r="A31" s="6">
        <v>30</v>
      </c>
      <c r="B31" s="7" t="s">
        <v>5</v>
      </c>
      <c r="C31" s="7" t="s">
        <v>42</v>
      </c>
      <c r="D31" s="6">
        <v>30</v>
      </c>
      <c r="E31" s="1">
        <f>VLOOKUP(C31,Skill!C:E,3,FALSE)</f>
        <v>81</v>
      </c>
    </row>
    <row r="32" spans="1:5" x14ac:dyDescent="0.25">
      <c r="A32" s="6">
        <v>31</v>
      </c>
      <c r="B32" s="7" t="s">
        <v>5</v>
      </c>
      <c r="C32" s="7" t="s">
        <v>43</v>
      </c>
      <c r="D32" s="6">
        <v>31</v>
      </c>
      <c r="E32" s="1">
        <f>VLOOKUP(C32,Skill!C:E,3,FALSE)</f>
        <v>82</v>
      </c>
    </row>
    <row r="33" spans="1:5" x14ac:dyDescent="0.25">
      <c r="A33" s="6">
        <v>32</v>
      </c>
      <c r="B33" s="7" t="s">
        <v>5</v>
      </c>
      <c r="C33" s="7" t="s">
        <v>44</v>
      </c>
      <c r="D33" s="6">
        <v>32</v>
      </c>
      <c r="E33" s="1">
        <f>VLOOKUP(C33,Skill!C:E,3,FALSE)</f>
        <v>83</v>
      </c>
    </row>
    <row r="34" spans="1:5" x14ac:dyDescent="0.25">
      <c r="A34" s="6">
        <v>33</v>
      </c>
      <c r="B34" s="7" t="s">
        <v>4</v>
      </c>
      <c r="C34" s="7" t="s">
        <v>45</v>
      </c>
      <c r="D34" s="6">
        <v>33</v>
      </c>
      <c r="E34" s="1">
        <f>VLOOKUP(C34,Skill!C:E,3,FALSE)</f>
        <v>95</v>
      </c>
    </row>
    <row r="35" spans="1:5" x14ac:dyDescent="0.25">
      <c r="A35" s="6">
        <v>34</v>
      </c>
      <c r="B35" s="7" t="s">
        <v>4</v>
      </c>
      <c r="C35" s="7" t="s">
        <v>46</v>
      </c>
      <c r="D35" s="6">
        <v>34</v>
      </c>
      <c r="E35" s="1">
        <f>VLOOKUP(C35,Skill!C:E,3,FALSE)</f>
        <v>96</v>
      </c>
    </row>
    <row r="36" spans="1:5" x14ac:dyDescent="0.25">
      <c r="A36" s="6">
        <v>35</v>
      </c>
      <c r="B36" s="7" t="s">
        <v>4</v>
      </c>
      <c r="C36" s="7" t="s">
        <v>47</v>
      </c>
      <c r="D36" s="6">
        <v>35</v>
      </c>
      <c r="E36" s="1">
        <f>VLOOKUP(C36,Skill!C:E,3,FALSE)</f>
        <v>97</v>
      </c>
    </row>
    <row r="37" spans="1:5" x14ac:dyDescent="0.25">
      <c r="A37" s="6">
        <v>36</v>
      </c>
      <c r="B37" s="7" t="s">
        <v>4</v>
      </c>
      <c r="C37" s="7" t="s">
        <v>48</v>
      </c>
      <c r="D37" s="6">
        <v>36</v>
      </c>
      <c r="E37" s="1">
        <f>VLOOKUP(C37,Skill!C:E,3,FALSE)</f>
        <v>98</v>
      </c>
    </row>
    <row r="38" spans="1:5" x14ac:dyDescent="0.25">
      <c r="A38" s="6">
        <v>37</v>
      </c>
      <c r="B38" s="7" t="s">
        <v>4</v>
      </c>
      <c r="C38" s="7" t="s">
        <v>49</v>
      </c>
      <c r="D38" s="6">
        <v>37</v>
      </c>
      <c r="E38" s="1">
        <f>VLOOKUP(C38,Skill!C:E,3,FALSE)</f>
        <v>99</v>
      </c>
    </row>
    <row r="39" spans="1:5" x14ac:dyDescent="0.25">
      <c r="A39" s="6">
        <v>38</v>
      </c>
      <c r="B39" s="7" t="s">
        <v>4</v>
      </c>
      <c r="C39" s="7" t="s">
        <v>50</v>
      </c>
      <c r="D39" s="6">
        <v>38</v>
      </c>
      <c r="E39" s="1">
        <f>VLOOKUP(C39,Skill!C:E,3,FALSE)</f>
        <v>100</v>
      </c>
    </row>
    <row r="40" spans="1:5" x14ac:dyDescent="0.25">
      <c r="A40" s="6">
        <v>39</v>
      </c>
      <c r="B40" s="7" t="s">
        <v>4</v>
      </c>
      <c r="C40" s="7" t="s">
        <v>51</v>
      </c>
      <c r="D40" s="6">
        <v>39</v>
      </c>
      <c r="E40" s="1">
        <f>VLOOKUP(C40,Skill!C:E,3,FALSE)</f>
        <v>101</v>
      </c>
    </row>
    <row r="41" spans="1:5" x14ac:dyDescent="0.25">
      <c r="A41" s="6">
        <v>40</v>
      </c>
      <c r="B41" s="7" t="s">
        <v>4</v>
      </c>
      <c r="C41" s="7" t="s">
        <v>52</v>
      </c>
      <c r="D41" s="6">
        <v>40</v>
      </c>
      <c r="E41" s="1">
        <f>VLOOKUP(C41,Skill!C:E,3,FALSE)</f>
        <v>102</v>
      </c>
    </row>
    <row r="42" spans="1:5" x14ac:dyDescent="0.25">
      <c r="A42" s="6">
        <v>41</v>
      </c>
      <c r="B42" s="7" t="s">
        <v>4</v>
      </c>
      <c r="C42" s="7" t="s">
        <v>53</v>
      </c>
      <c r="D42" s="6">
        <v>41</v>
      </c>
      <c r="E42" s="1">
        <f>VLOOKUP(C42,Skill!C:E,3,FALSE)</f>
        <v>103</v>
      </c>
    </row>
    <row r="43" spans="1:5" x14ac:dyDescent="0.25">
      <c r="A43" s="6">
        <v>42</v>
      </c>
      <c r="B43" s="7" t="s">
        <v>4</v>
      </c>
      <c r="C43" s="7" t="s">
        <v>54</v>
      </c>
      <c r="D43" s="6">
        <v>42</v>
      </c>
      <c r="E43" s="1">
        <f>VLOOKUP(C43,Skill!C:E,3,FALSE)</f>
        <v>104</v>
      </c>
    </row>
    <row r="44" spans="1:5" x14ac:dyDescent="0.25">
      <c r="A44" s="6">
        <v>43</v>
      </c>
      <c r="B44" s="7" t="s">
        <v>4</v>
      </c>
      <c r="C44" s="7" t="s">
        <v>55</v>
      </c>
      <c r="D44" s="6">
        <v>43</v>
      </c>
      <c r="E44" s="1">
        <f>VLOOKUP(C44,Skill!C:E,3,FALSE)</f>
        <v>105</v>
      </c>
    </row>
    <row r="45" spans="1:5" x14ac:dyDescent="0.25">
      <c r="A45" s="6">
        <v>44</v>
      </c>
      <c r="B45" s="7" t="s">
        <v>4</v>
      </c>
      <c r="C45" s="7" t="s">
        <v>56</v>
      </c>
      <c r="D45" s="6">
        <v>44</v>
      </c>
      <c r="E45" s="1">
        <f>VLOOKUP(C45,Skill!C:E,3,FALSE)</f>
        <v>106</v>
      </c>
    </row>
    <row r="46" spans="1:5" x14ac:dyDescent="0.25">
      <c r="A46" s="6">
        <v>45</v>
      </c>
      <c r="B46" s="7" t="s">
        <v>3</v>
      </c>
      <c r="C46" s="7" t="s">
        <v>57</v>
      </c>
      <c r="D46" s="6">
        <v>45</v>
      </c>
      <c r="E46" s="1">
        <f>VLOOKUP(C46,Skill!C:E,3,FALSE)</f>
        <v>107</v>
      </c>
    </row>
    <row r="47" spans="1:5" x14ac:dyDescent="0.25">
      <c r="A47" s="6">
        <v>46</v>
      </c>
      <c r="B47" s="7" t="s">
        <v>3</v>
      </c>
      <c r="C47" s="7" t="s">
        <v>58</v>
      </c>
      <c r="D47" s="6">
        <v>46</v>
      </c>
      <c r="E47" s="1">
        <f>VLOOKUP(C47,Skill!C:E,3,FALSE)</f>
        <v>108</v>
      </c>
    </row>
    <row r="48" spans="1:5" x14ac:dyDescent="0.25">
      <c r="A48" s="6">
        <v>47</v>
      </c>
      <c r="B48" s="7" t="s">
        <v>3</v>
      </c>
      <c r="C48" s="7" t="s">
        <v>59</v>
      </c>
      <c r="D48" s="6">
        <v>47</v>
      </c>
      <c r="E48" s="1">
        <f>VLOOKUP(C48,Skill!C:E,3,FALSE)</f>
        <v>109</v>
      </c>
    </row>
    <row r="49" spans="1:5" x14ac:dyDescent="0.25">
      <c r="A49" s="6">
        <v>48</v>
      </c>
      <c r="B49" s="7" t="s">
        <v>3</v>
      </c>
      <c r="C49" s="7" t="s">
        <v>60</v>
      </c>
      <c r="D49" s="6">
        <v>48</v>
      </c>
      <c r="E49" s="1">
        <f>VLOOKUP(C49,Skill!C:E,3,FALSE)</f>
        <v>110</v>
      </c>
    </row>
    <row r="50" spans="1:5" x14ac:dyDescent="0.25">
      <c r="A50" s="6">
        <v>49</v>
      </c>
      <c r="B50" s="7" t="s">
        <v>3</v>
      </c>
      <c r="C50" s="7" t="s">
        <v>61</v>
      </c>
      <c r="D50" s="6">
        <v>49</v>
      </c>
      <c r="E50" s="1">
        <f>VLOOKUP(C50,Skill!C:E,3,FALSE)</f>
        <v>111</v>
      </c>
    </row>
    <row r="51" spans="1:5" x14ac:dyDescent="0.25">
      <c r="A51" s="6">
        <v>50</v>
      </c>
      <c r="B51" s="7" t="s">
        <v>3</v>
      </c>
      <c r="C51" s="7" t="s">
        <v>62</v>
      </c>
      <c r="D51" s="6">
        <v>50</v>
      </c>
      <c r="E51" s="1">
        <f>VLOOKUP(C51,Skill!C:E,3,FALSE)</f>
        <v>112</v>
      </c>
    </row>
    <row r="52" spans="1:5" x14ac:dyDescent="0.25">
      <c r="A52" s="6">
        <v>51</v>
      </c>
      <c r="B52" s="7" t="s">
        <v>3</v>
      </c>
      <c r="C52" s="7" t="s">
        <v>63</v>
      </c>
      <c r="D52" s="6">
        <v>51</v>
      </c>
      <c r="E52" s="1">
        <f>VLOOKUP(C52,Skill!C:E,3,FALSE)</f>
        <v>114</v>
      </c>
    </row>
    <row r="53" spans="1:5" x14ac:dyDescent="0.25">
      <c r="A53" s="6">
        <v>52</v>
      </c>
      <c r="B53" s="7" t="s">
        <v>3</v>
      </c>
      <c r="C53" s="7" t="s">
        <v>64</v>
      </c>
      <c r="D53" s="6">
        <v>52</v>
      </c>
      <c r="E53" s="1">
        <f>VLOOKUP(C53,Skill!C:E,3,FALSE)</f>
        <v>115</v>
      </c>
    </row>
    <row r="54" spans="1:5" x14ac:dyDescent="0.25">
      <c r="A54" s="6">
        <v>53</v>
      </c>
      <c r="B54" s="7" t="s">
        <v>3</v>
      </c>
      <c r="C54" s="7" t="s">
        <v>65</v>
      </c>
      <c r="D54" s="6">
        <v>53</v>
      </c>
      <c r="E54" s="1">
        <f>VLOOKUP(C54,Skill!C:E,3,FALSE)</f>
        <v>116</v>
      </c>
    </row>
    <row r="55" spans="1:5" x14ac:dyDescent="0.25">
      <c r="A55" s="6">
        <v>54</v>
      </c>
      <c r="B55" s="7" t="s">
        <v>3</v>
      </c>
      <c r="C55" s="7" t="s">
        <v>66</v>
      </c>
      <c r="D55" s="6">
        <v>54</v>
      </c>
      <c r="E55" s="1">
        <f>VLOOKUP(C55,Skill!C:E,3,FALSE)</f>
        <v>117</v>
      </c>
    </row>
    <row r="56" spans="1:5" x14ac:dyDescent="0.25">
      <c r="A56" s="6">
        <v>55</v>
      </c>
      <c r="B56" s="7" t="s">
        <v>2</v>
      </c>
      <c r="C56" s="7" t="s">
        <v>67</v>
      </c>
      <c r="D56" s="6">
        <v>55</v>
      </c>
      <c r="E56" s="1">
        <f>VLOOKUP(C56,Skill!C:E,3,FALSE)</f>
        <v>125</v>
      </c>
    </row>
    <row r="57" spans="1:5" x14ac:dyDescent="0.25">
      <c r="A57" s="6">
        <v>56</v>
      </c>
      <c r="B57" s="7" t="s">
        <v>2</v>
      </c>
      <c r="C57" s="7" t="s">
        <v>68</v>
      </c>
      <c r="D57" s="6">
        <v>56</v>
      </c>
      <c r="E57" s="1">
        <f>VLOOKUP(C57,Skill!C:E,3,FALSE)</f>
        <v>132</v>
      </c>
    </row>
    <row r="58" spans="1:5" x14ac:dyDescent="0.25">
      <c r="A58" s="6">
        <v>57</v>
      </c>
      <c r="B58" s="7" t="s">
        <v>2</v>
      </c>
      <c r="C58" s="7" t="s">
        <v>69</v>
      </c>
      <c r="D58" s="6">
        <v>57</v>
      </c>
      <c r="E58" s="1">
        <f>VLOOKUP(C58,Skill!C:E,3,FALSE)</f>
        <v>135</v>
      </c>
    </row>
    <row r="59" spans="1:5" x14ac:dyDescent="0.25">
      <c r="A59" s="6">
        <v>58</v>
      </c>
      <c r="B59" s="7" t="s">
        <v>2</v>
      </c>
      <c r="C59" s="7" t="s">
        <v>70</v>
      </c>
      <c r="D59" s="6">
        <v>58</v>
      </c>
      <c r="E59" s="1">
        <f>VLOOKUP(C59,Skill!C:E,3,FALSE)</f>
        <v>141</v>
      </c>
    </row>
    <row r="60" spans="1:5" x14ac:dyDescent="0.25">
      <c r="A60" s="6">
        <v>59</v>
      </c>
      <c r="B60" s="7" t="s">
        <v>2</v>
      </c>
      <c r="C60" s="7" t="s">
        <v>71</v>
      </c>
      <c r="D60" s="6">
        <v>59</v>
      </c>
      <c r="E60" s="1">
        <f>VLOOKUP(C60,Skill!C:E,3,FALSE)</f>
        <v>142</v>
      </c>
    </row>
    <row r="61" spans="1:5" x14ac:dyDescent="0.25">
      <c r="A61" s="6">
        <v>60</v>
      </c>
      <c r="B61" s="7" t="s">
        <v>2</v>
      </c>
      <c r="C61" s="7" t="s">
        <v>72</v>
      </c>
      <c r="D61" s="6">
        <v>60</v>
      </c>
      <c r="E61" s="1">
        <f>VLOOKUP(C61,Skill!C:E,3,FALSE)</f>
        <v>146</v>
      </c>
    </row>
    <row r="62" spans="1:5" x14ac:dyDescent="0.25">
      <c r="A62" s="6">
        <v>61</v>
      </c>
      <c r="B62" s="7" t="s">
        <v>2</v>
      </c>
      <c r="C62" s="7" t="s">
        <v>73</v>
      </c>
      <c r="D62" s="6">
        <v>61</v>
      </c>
      <c r="E62" s="1">
        <f>VLOOKUP(C62,Skill!C:E,3,FALSE)</f>
        <v>147</v>
      </c>
    </row>
    <row r="63" spans="1:5" x14ac:dyDescent="0.25">
      <c r="A63" s="6">
        <v>62</v>
      </c>
      <c r="B63" s="7" t="s">
        <v>2</v>
      </c>
      <c r="C63" s="7" t="s">
        <v>74</v>
      </c>
      <c r="D63" s="6">
        <v>62</v>
      </c>
      <c r="E63" s="1">
        <f>VLOOKUP(C63,Skill!C:E,3,FALSE)</f>
        <v>148</v>
      </c>
    </row>
    <row r="64" spans="1:5" x14ac:dyDescent="0.25">
      <c r="A64" s="6">
        <v>63</v>
      </c>
      <c r="B64" s="7" t="s">
        <v>75</v>
      </c>
      <c r="C64" s="7" t="s">
        <v>76</v>
      </c>
      <c r="D64" s="6">
        <v>63</v>
      </c>
      <c r="E64" s="1">
        <f>VLOOKUP(C64,Skill!C:E,3,FALSE)</f>
        <v>156</v>
      </c>
    </row>
    <row r="65" spans="1:5" x14ac:dyDescent="0.25">
      <c r="A65" s="6">
        <v>64</v>
      </c>
      <c r="B65" s="7" t="s">
        <v>75</v>
      </c>
      <c r="C65" s="7" t="s">
        <v>77</v>
      </c>
      <c r="D65" s="6">
        <v>64</v>
      </c>
      <c r="E65" s="1">
        <f>VLOOKUP(C65,Skill!C:E,3,FALSE)</f>
        <v>158</v>
      </c>
    </row>
    <row r="66" spans="1:5" x14ac:dyDescent="0.25">
      <c r="A66" s="6">
        <v>65</v>
      </c>
      <c r="B66" s="7" t="s">
        <v>75</v>
      </c>
      <c r="C66" s="7" t="s">
        <v>78</v>
      </c>
      <c r="D66" s="6">
        <v>65</v>
      </c>
      <c r="E66" s="1">
        <f>VLOOKUP(C66,Skill!C:E,3,FALSE)</f>
        <v>157</v>
      </c>
    </row>
    <row r="67" spans="1:5" x14ac:dyDescent="0.25">
      <c r="A67" s="6">
        <v>66</v>
      </c>
      <c r="B67" s="7" t="s">
        <v>79</v>
      </c>
      <c r="C67" s="7" t="s">
        <v>80</v>
      </c>
      <c r="D67" s="6">
        <v>66</v>
      </c>
      <c r="E67" s="1">
        <f>VLOOKUP(C67,Skill!C:E,3,FALSE)</f>
        <v>160</v>
      </c>
    </row>
    <row r="68" spans="1:5" x14ac:dyDescent="0.25">
      <c r="A68" s="6">
        <v>67</v>
      </c>
      <c r="B68" s="7" t="s">
        <v>79</v>
      </c>
      <c r="C68" s="7" t="s">
        <v>81</v>
      </c>
      <c r="D68" s="6">
        <v>67</v>
      </c>
      <c r="E68" s="1">
        <f>VLOOKUP(C68,Skill!C:E,3,FALSE)</f>
        <v>161</v>
      </c>
    </row>
    <row r="69" spans="1:5" x14ac:dyDescent="0.25">
      <c r="A69" s="6">
        <v>68</v>
      </c>
      <c r="B69" s="7" t="s">
        <v>79</v>
      </c>
      <c r="C69" s="7" t="s">
        <v>82</v>
      </c>
      <c r="D69" s="6">
        <v>68</v>
      </c>
      <c r="E69" s="1">
        <f>VLOOKUP(C69,Skill!C:E,3,FALSE)</f>
        <v>162</v>
      </c>
    </row>
    <row r="70" spans="1:5" x14ac:dyDescent="0.25">
      <c r="A70" s="6">
        <v>69</v>
      </c>
      <c r="B70" s="7" t="s">
        <v>79</v>
      </c>
      <c r="C70" s="7" t="s">
        <v>83</v>
      </c>
      <c r="D70" s="6">
        <v>69</v>
      </c>
      <c r="E70" s="1">
        <f>VLOOKUP(C70,Skill!C:E,3,FALSE)</f>
        <v>165</v>
      </c>
    </row>
    <row r="71" spans="1:5" x14ac:dyDescent="0.25">
      <c r="A71" s="6">
        <v>70</v>
      </c>
      <c r="B71" s="7" t="s">
        <v>84</v>
      </c>
      <c r="C71" s="7" t="s">
        <v>85</v>
      </c>
      <c r="D71" s="6">
        <v>70</v>
      </c>
      <c r="E71" s="1">
        <f>VLOOKUP(C71,Skill!C:E,3,FALSE)</f>
        <v>167</v>
      </c>
    </row>
    <row r="72" spans="1:5" x14ac:dyDescent="0.25">
      <c r="A72" s="6">
        <v>71</v>
      </c>
      <c r="B72" s="7" t="s">
        <v>84</v>
      </c>
      <c r="C72" s="7" t="s">
        <v>86</v>
      </c>
      <c r="D72" s="6">
        <v>71</v>
      </c>
      <c r="E72" s="1">
        <f>VLOOKUP(C72,Skill!C:E,3,FALSE)</f>
        <v>168</v>
      </c>
    </row>
    <row r="73" spans="1:5" x14ac:dyDescent="0.25">
      <c r="A73" s="6">
        <v>72</v>
      </c>
      <c r="B73" s="7" t="s">
        <v>84</v>
      </c>
      <c r="C73" s="7" t="s">
        <v>87</v>
      </c>
      <c r="D73" s="6">
        <v>72</v>
      </c>
      <c r="E73" s="1">
        <f>VLOOKUP(C73,Skill!C:E,3,FALSE)</f>
        <v>171</v>
      </c>
    </row>
    <row r="74" spans="1:5" x14ac:dyDescent="0.25">
      <c r="A74" s="6">
        <v>73</v>
      </c>
      <c r="B74" s="7" t="s">
        <v>84</v>
      </c>
      <c r="C74" s="7" t="s">
        <v>88</v>
      </c>
      <c r="D74" s="6">
        <v>73</v>
      </c>
      <c r="E74" s="1">
        <f>VLOOKUP(C74,Skill!C:E,3,FALSE)</f>
        <v>173</v>
      </c>
    </row>
    <row r="75" spans="1:5" x14ac:dyDescent="0.25">
      <c r="A75" s="6">
        <v>74</v>
      </c>
      <c r="B75" s="7" t="s">
        <v>1</v>
      </c>
      <c r="C75" s="7" t="s">
        <v>89</v>
      </c>
      <c r="D75" s="6">
        <v>74</v>
      </c>
      <c r="E75" s="1">
        <f>VLOOKUP(C75,Skill!C:E,3,FALSE)</f>
        <v>195</v>
      </c>
    </row>
    <row r="76" spans="1:5" x14ac:dyDescent="0.25">
      <c r="A76" s="6">
        <v>75</v>
      </c>
      <c r="B76" s="7" t="s">
        <v>1</v>
      </c>
      <c r="C76" s="7" t="s">
        <v>90</v>
      </c>
      <c r="D76" s="6">
        <v>75</v>
      </c>
      <c r="E76" s="1">
        <f>VLOOKUP(C76,Skill!C:E,3,FALSE)</f>
        <v>204</v>
      </c>
    </row>
    <row r="77" spans="1:5" x14ac:dyDescent="0.25">
      <c r="A77" s="6">
        <v>76</v>
      </c>
      <c r="B77" s="7" t="s">
        <v>1</v>
      </c>
      <c r="C77" s="7" t="s">
        <v>91</v>
      </c>
      <c r="D77" s="6">
        <v>76</v>
      </c>
      <c r="E77" s="1">
        <f>VLOOKUP(C77,Skill!C:E,3,FALSE)</f>
        <v>193</v>
      </c>
    </row>
    <row r="78" spans="1:5" x14ac:dyDescent="0.25">
      <c r="A78" s="6">
        <v>77</v>
      </c>
      <c r="B78" s="7" t="s">
        <v>0</v>
      </c>
      <c r="C78" s="7" t="s">
        <v>92</v>
      </c>
      <c r="D78" s="6">
        <v>77</v>
      </c>
      <c r="E78" s="1">
        <f>VLOOKUP(C78,Skill!C:E,3,FALSE)</f>
        <v>216</v>
      </c>
    </row>
    <row r="79" spans="1:5" x14ac:dyDescent="0.25">
      <c r="A79" s="6">
        <v>78</v>
      </c>
      <c r="B79" s="7" t="s">
        <v>0</v>
      </c>
      <c r="C79" s="7" t="s">
        <v>93</v>
      </c>
      <c r="D79" s="6">
        <v>78</v>
      </c>
      <c r="E79" s="1">
        <f>VLOOKUP(C79,Skill!C:E,3,FALSE)</f>
        <v>217</v>
      </c>
    </row>
    <row r="80" spans="1:5" x14ac:dyDescent="0.25">
      <c r="A80" s="6">
        <v>79</v>
      </c>
      <c r="B80" s="7" t="s">
        <v>0</v>
      </c>
      <c r="C80" s="7" t="s">
        <v>94</v>
      </c>
      <c r="D80" s="6">
        <v>79</v>
      </c>
      <c r="E80" s="1">
        <f>VLOOKUP(C80,Skill!C:E,3,FALSE)</f>
        <v>218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D6076-94DD-4059-9135-01278CAE3234}">
  <dimension ref="A1:D21"/>
  <sheetViews>
    <sheetView tabSelected="1" workbookViewId="0">
      <selection activeCell="A22" sqref="A22"/>
    </sheetView>
  </sheetViews>
  <sheetFormatPr defaultRowHeight="15.75" x14ac:dyDescent="0.25"/>
  <cols>
    <col min="1" max="1" width="11.109375" bestFit="1" customWidth="1"/>
    <col min="2" max="3" width="11.109375" customWidth="1"/>
    <col min="4" max="4" width="4.5546875" bestFit="1" customWidth="1"/>
  </cols>
  <sheetData>
    <row r="1" spans="1:4" x14ac:dyDescent="0.25">
      <c r="A1" t="s">
        <v>95</v>
      </c>
      <c r="C1" t="str">
        <f>A1&amp;"（"&amp;B1&amp;"）"</f>
        <v>範囲（）</v>
      </c>
      <c r="D1">
        <v>1</v>
      </c>
    </row>
    <row r="2" spans="1:4" x14ac:dyDescent="0.25">
      <c r="A2" t="s">
        <v>96</v>
      </c>
      <c r="C2" t="str">
        <f t="shared" ref="C2:C21" si="0">A2&amp;"（"&amp;B2&amp;"）"</f>
        <v>特定の対象（）</v>
      </c>
      <c r="D2">
        <v>2</v>
      </c>
    </row>
    <row r="3" spans="1:4" x14ac:dyDescent="0.25">
      <c r="A3" t="s">
        <v>97</v>
      </c>
      <c r="C3" t="str">
        <f t="shared" si="0"/>
        <v>属性（）</v>
      </c>
      <c r="D3">
        <v>3</v>
      </c>
    </row>
    <row r="4" spans="1:4" x14ac:dyDescent="0.25">
      <c r="A4" t="s">
        <v>98</v>
      </c>
      <c r="C4" t="str">
        <f t="shared" si="0"/>
        <v>特殊効果（）</v>
      </c>
      <c r="D4">
        <v>4</v>
      </c>
    </row>
    <row r="5" spans="1:4" x14ac:dyDescent="0.25">
      <c r="A5" t="s">
        <v>99</v>
      </c>
      <c r="C5" t="str">
        <f t="shared" si="0"/>
        <v>特殊攻撃（）</v>
      </c>
      <c r="D5">
        <v>5</v>
      </c>
    </row>
    <row r="6" spans="1:4" x14ac:dyDescent="0.25">
      <c r="A6" t="s">
        <v>100</v>
      </c>
      <c r="C6" t="str">
        <f t="shared" si="0"/>
        <v>特殊状態（）</v>
      </c>
      <c r="D6">
        <v>6</v>
      </c>
    </row>
    <row r="7" spans="1:4" x14ac:dyDescent="0.25">
      <c r="A7" t="s">
        <v>101</v>
      </c>
      <c r="C7" t="str">
        <f t="shared" si="0"/>
        <v>状態異常（）</v>
      </c>
      <c r="D7">
        <v>7</v>
      </c>
    </row>
    <row r="8" spans="1:4" x14ac:dyDescent="0.25">
      <c r="A8" t="s">
        <v>102</v>
      </c>
      <c r="C8" t="str">
        <f t="shared" si="0"/>
        <v>ステータス上昇（）</v>
      </c>
      <c r="D8">
        <v>8</v>
      </c>
    </row>
    <row r="9" spans="1:4" x14ac:dyDescent="0.25">
      <c r="A9" t="s">
        <v>103</v>
      </c>
      <c r="C9" t="str">
        <f t="shared" si="0"/>
        <v>ステータス低下（）</v>
      </c>
      <c r="D9">
        <v>9</v>
      </c>
    </row>
    <row r="10" spans="1:4" x14ac:dyDescent="0.25">
      <c r="A10" t="s">
        <v>104</v>
      </c>
      <c r="B10" t="s">
        <v>99</v>
      </c>
      <c r="C10" t="str">
        <f>A10&amp;"（"&amp;B10&amp;"）"</f>
        <v>解除（特殊攻撃）</v>
      </c>
      <c r="D10">
        <v>51</v>
      </c>
    </row>
    <row r="11" spans="1:4" x14ac:dyDescent="0.25">
      <c r="A11" t="s">
        <v>104</v>
      </c>
      <c r="B11" t="s">
        <v>100</v>
      </c>
      <c r="C11" t="str">
        <f>A11&amp;"（"&amp;B11&amp;"）"</f>
        <v>解除（特殊状態）</v>
      </c>
      <c r="D11">
        <v>52</v>
      </c>
    </row>
    <row r="12" spans="1:4" x14ac:dyDescent="0.25">
      <c r="A12" t="s">
        <v>104</v>
      </c>
      <c r="B12" t="s">
        <v>101</v>
      </c>
      <c r="C12" t="str">
        <f>A12&amp;"（"&amp;B12&amp;"）"</f>
        <v>解除（状態異常）</v>
      </c>
      <c r="D12">
        <v>53</v>
      </c>
    </row>
    <row r="13" spans="1:4" x14ac:dyDescent="0.25">
      <c r="A13" t="s">
        <v>104</v>
      </c>
      <c r="B13" t="s">
        <v>102</v>
      </c>
      <c r="C13" t="str">
        <f>A13&amp;"（"&amp;B13&amp;"）"</f>
        <v>解除（ステータス上昇）</v>
      </c>
      <c r="D13">
        <v>54</v>
      </c>
    </row>
    <row r="14" spans="1:4" x14ac:dyDescent="0.25">
      <c r="A14" t="s">
        <v>104</v>
      </c>
      <c r="B14" t="s">
        <v>103</v>
      </c>
      <c r="C14" t="str">
        <f>A14&amp;"（"&amp;B14&amp;"）"</f>
        <v>解除（ステータス低下）</v>
      </c>
      <c r="D14">
        <v>55</v>
      </c>
    </row>
    <row r="15" spans="1:4" x14ac:dyDescent="0.25">
      <c r="A15" t="s">
        <v>104</v>
      </c>
      <c r="B15" t="s">
        <v>105</v>
      </c>
      <c r="C15" t="str">
        <f>A15&amp;"（"&amp;B15&amp;"）"</f>
        <v>解除（耐性）</v>
      </c>
      <c r="D15">
        <v>56</v>
      </c>
    </row>
    <row r="16" spans="1:4" x14ac:dyDescent="0.25">
      <c r="A16" t="s">
        <v>105</v>
      </c>
      <c r="C16" t="str">
        <f t="shared" si="0"/>
        <v>耐性（）</v>
      </c>
      <c r="D16">
        <v>101</v>
      </c>
    </row>
    <row r="17" spans="1:4" x14ac:dyDescent="0.25">
      <c r="A17" t="s">
        <v>106</v>
      </c>
      <c r="C17" t="str">
        <f t="shared" si="0"/>
        <v>回復（）</v>
      </c>
      <c r="D17">
        <v>102</v>
      </c>
    </row>
    <row r="18" spans="1:4" x14ac:dyDescent="0.25">
      <c r="A18" t="s">
        <v>107</v>
      </c>
      <c r="C18" t="str">
        <f t="shared" si="0"/>
        <v>威力上昇（）</v>
      </c>
      <c r="D18">
        <v>103</v>
      </c>
    </row>
    <row r="19" spans="1:4" x14ac:dyDescent="0.25">
      <c r="A19" t="s">
        <v>108</v>
      </c>
      <c r="C19" t="str">
        <f t="shared" si="0"/>
        <v>追撃（）</v>
      </c>
      <c r="D19">
        <v>104</v>
      </c>
    </row>
    <row r="20" spans="1:4" x14ac:dyDescent="0.25">
      <c r="A20" t="s">
        <v>109</v>
      </c>
      <c r="C20" t="str">
        <f t="shared" si="0"/>
        <v>トラップ（）</v>
      </c>
      <c r="D20">
        <v>105</v>
      </c>
    </row>
    <row r="21" spans="1:4" x14ac:dyDescent="0.25">
      <c r="A21" t="s">
        <v>110</v>
      </c>
      <c r="C21" t="str">
        <f t="shared" si="0"/>
        <v>その他（）</v>
      </c>
      <c r="D21">
        <v>106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Skill</vt:lpstr>
      <vt:lpstr>MobileSSkill</vt:lpstr>
      <vt:lpstr>PilotSkill</vt:lpstr>
      <vt:lpstr>Sheet3</vt:lpstr>
      <vt:lpstr>MobileSSkill!Print_Titles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野村 克浩</dc:creator>
  <cp:lastModifiedBy>野村 克浩</cp:lastModifiedBy>
  <dcterms:created xsi:type="dcterms:W3CDTF">2024-07-17T06:51:50Z</dcterms:created>
  <dcterms:modified xsi:type="dcterms:W3CDTF">2024-07-17T11:06:09Z</dcterms:modified>
</cp:coreProperties>
</file>