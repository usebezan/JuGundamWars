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Ju.GundamWars\Database\Table\"/>
    </mc:Choice>
  </mc:AlternateContent>
  <xr:revisionPtr revIDLastSave="0" documentId="13_ncr:1_{072FCDF6-D0D4-4EBD-9B51-E64B4616A191}" xr6:coauthVersionLast="47" xr6:coauthVersionMax="47" xr10:uidLastSave="{00000000-0000-0000-0000-000000000000}"/>
  <bookViews>
    <workbookView xWindow="14370" yWindow="0" windowWidth="14430" windowHeight="15600" activeTab="2" xr2:uid="{2B7B1DB3-ED5C-41A5-9C29-22C9C7198DDD}"/>
  </bookViews>
  <sheets>
    <sheet name="Sheet1" sheetId="1" r:id="rId1"/>
    <sheet name="PilotAbility" sheetId="2" r:id="rId2"/>
    <sheet name="SupportBadge" sheetId="3" r:id="rId3"/>
  </sheets>
  <definedNames>
    <definedName name="_xlnm._FilterDatabase" localSheetId="0" hidden="1">Sheet1!$A$1:$F$36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2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D2" i="2"/>
  <c r="C2" i="2"/>
</calcChain>
</file>

<file path=xl/sharedStrings.xml><?xml version="1.0" encoding="utf-8"?>
<sst xmlns="http://schemas.openxmlformats.org/spreadsheetml/2006/main" count="245" uniqueCount="105">
  <si>
    <t>機体</t>
  </si>
  <si>
    <t>MobileHp</t>
  </si>
  <si>
    <t>HP</t>
  </si>
  <si>
    <t>MobileBeamAttack</t>
  </si>
  <si>
    <t>ビーム攻撃</t>
  </si>
  <si>
    <t>MobilePhysicalAttack</t>
  </si>
  <si>
    <t>実弾攻撃</t>
  </si>
  <si>
    <t>MobileBeamDefence</t>
  </si>
  <si>
    <t>ビーム防御</t>
  </si>
  <si>
    <t>MobilePhysicalDefence</t>
  </si>
  <si>
    <t>実弾防御</t>
  </si>
  <si>
    <t>MobileCriticalRate</t>
  </si>
  <si>
    <t>クリ率</t>
  </si>
  <si>
    <t>MobileCriticalDamage</t>
  </si>
  <si>
    <t>クリダメ</t>
  </si>
  <si>
    <t>MobileAccuracy</t>
  </si>
  <si>
    <t>命中</t>
  </si>
  <si>
    <t>MobileEvasion</t>
  </si>
  <si>
    <t>回避</t>
  </si>
  <si>
    <t>MobileMobility</t>
  </si>
  <si>
    <t>機動</t>
  </si>
  <si>
    <t>MobileEnRecovery</t>
  </si>
  <si>
    <t>EN回復</t>
  </si>
  <si>
    <t>MobileBeamAndPhysicalAttack</t>
  </si>
  <si>
    <t>ビーム・実弾攻撃</t>
  </si>
  <si>
    <t>MobileBeamAndPhysicalDefence</t>
  </si>
  <si>
    <t>ビーム・実弾防御</t>
  </si>
  <si>
    <t>MobileSuperPower</t>
  </si>
  <si>
    <t>必殺技の威力</t>
  </si>
  <si>
    <t>MobileAcePower</t>
  </si>
  <si>
    <t>ACE必殺技の威力</t>
  </si>
  <si>
    <t>MobileRecoveryPower</t>
  </si>
  <si>
    <t>必殺技のHP回復力</t>
  </si>
  <si>
    <t>パイロット</t>
  </si>
  <si>
    <t>PilotShooting</t>
  </si>
  <si>
    <t>射撃</t>
  </si>
  <si>
    <t>PilotMelee</t>
  </si>
  <si>
    <t>格闘</t>
  </si>
  <si>
    <t>PilotAccuracy</t>
  </si>
  <si>
    <t>PilotEvasion</t>
  </si>
  <si>
    <t>PilotAwakened</t>
  </si>
  <si>
    <t>覚醒</t>
  </si>
  <si>
    <t>PilotDefense</t>
  </si>
  <si>
    <t>防御</t>
  </si>
  <si>
    <t>バッジ</t>
  </si>
  <si>
    <t>BadgeHp</t>
  </si>
  <si>
    <t>BadgeBeamAttack</t>
  </si>
  <si>
    <t>BadgePhysicalAttack</t>
  </si>
  <si>
    <t>BadgeBeamDefence</t>
  </si>
  <si>
    <t>BadgePhysicalDefence</t>
  </si>
  <si>
    <t>BadgeCriticalDamage</t>
  </si>
  <si>
    <t>BadgeAccuracy</t>
  </si>
  <si>
    <t>BadgeEvasion</t>
  </si>
  <si>
    <t>BadgeMobility</t>
  </si>
  <si>
    <t>BadgeEnRecovery</t>
  </si>
  <si>
    <t>BadgeSuperPower</t>
  </si>
  <si>
    <t>BadgeAcePower</t>
  </si>
  <si>
    <t>BadgeRecoveryPower</t>
  </si>
  <si>
    <t>BoostCategoryType</t>
    <phoneticPr fontId="1"/>
  </si>
  <si>
    <t>BoostStatusType</t>
    <phoneticPr fontId="1"/>
  </si>
  <si>
    <t>Id</t>
  </si>
  <si>
    <t>Rank</t>
  </si>
  <si>
    <t>Boost</t>
  </si>
  <si>
    <t>Calc</t>
  </si>
  <si>
    <t>Value</t>
  </si>
  <si>
    <t>Order</t>
  </si>
  <si>
    <t>10</t>
  </si>
  <si>
    <t>50</t>
  </si>
  <si>
    <t>100</t>
  </si>
  <si>
    <t>200</t>
  </si>
  <si>
    <t>500</t>
  </si>
  <si>
    <t>15</t>
  </si>
  <si>
    <t>75</t>
  </si>
  <si>
    <t>150</t>
  </si>
  <si>
    <t>300</t>
  </si>
  <si>
    <t>750</t>
  </si>
  <si>
    <t>30</t>
  </si>
  <si>
    <t>60</t>
  </si>
  <si>
    <t>120</t>
  </si>
  <si>
    <t>240</t>
  </si>
  <si>
    <t>5</t>
  </si>
  <si>
    <t>25</t>
  </si>
  <si>
    <t>250</t>
  </si>
  <si>
    <t>0.01</t>
  </si>
  <si>
    <t>0.03</t>
  </si>
  <si>
    <t>0.05</t>
  </si>
  <si>
    <t>0.1</t>
  </si>
  <si>
    <t>0.2</t>
  </si>
  <si>
    <t>0.005</t>
  </si>
  <si>
    <t>0.02</t>
  </si>
  <si>
    <t>0.06</t>
  </si>
  <si>
    <t>0.04</t>
  </si>
  <si>
    <t>0.12</t>
  </si>
  <si>
    <t>0.4</t>
  </si>
  <si>
    <t>0.07</t>
  </si>
  <si>
    <t>0.08</t>
  </si>
  <si>
    <t>0.09</t>
  </si>
  <si>
    <t>20</t>
  </si>
  <si>
    <t>0.035</t>
  </si>
  <si>
    <t>0.045</t>
  </si>
  <si>
    <t>700</t>
  </si>
  <si>
    <t>1500</t>
  </si>
  <si>
    <t>3000</t>
  </si>
  <si>
    <t>4500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</si>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</sst>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1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right" vertical="center"/>
    </xf>
    <xf numFmtId="49" fontId="2" fillId="2" borderId="0" xfId="0" applyNumberFormat="1" applyFont="1" applyFill="1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7FBD-6B16-464F-926C-B79604E89A98}">
  <dimension ref="A1:F36"/>
  <sheetViews>
    <sheetView workbookViewId="0">
      <selection activeCell="E12" sqref="E12"/>
    </sheetView>
  </sheetViews>
  <sheetFormatPr defaultRowHeight="15.75" x14ac:dyDescent="0.25"/>
  <cols>
    <col min="1" max="1" width="29.33203125" bestFit="1" customWidth="1"/>
    <col min="2" max="2" width="6.5546875" bestFit="1" customWidth="1"/>
    <col min="3" max="3" width="7.6640625" bestFit="1" customWidth="1"/>
    <col min="4" max="4" width="19.88671875" bestFit="1" customWidth="1"/>
    <col min="5" max="5" width="15.5546875" bestFit="1" customWidth="1"/>
    <col min="6" max="6" width="17.6640625" bestFit="1" customWidth="1"/>
  </cols>
  <sheetData>
    <row r="1" spans="1:6" x14ac:dyDescent="0.25">
      <c r="D1" t="s">
        <v>58</v>
      </c>
      <c r="F1" t="s">
        <v>59</v>
      </c>
    </row>
    <row r="2" spans="1:6" x14ac:dyDescent="0.25">
      <c r="A2" t="s">
        <v>1</v>
      </c>
      <c r="B2">
        <v>4097</v>
      </c>
      <c r="C2" t="s">
        <v>0</v>
      </c>
      <c r="D2">
        <v>1</v>
      </c>
      <c r="E2" t="s">
        <v>2</v>
      </c>
      <c r="F2">
        <v>1</v>
      </c>
    </row>
    <row r="3" spans="1:6" x14ac:dyDescent="0.25">
      <c r="A3" t="s">
        <v>3</v>
      </c>
      <c r="B3">
        <v>4098</v>
      </c>
      <c r="C3" t="s">
        <v>0</v>
      </c>
      <c r="D3">
        <v>1</v>
      </c>
      <c r="E3" t="s">
        <v>4</v>
      </c>
      <c r="F3">
        <v>2</v>
      </c>
    </row>
    <row r="4" spans="1:6" x14ac:dyDescent="0.25">
      <c r="A4" t="s">
        <v>5</v>
      </c>
      <c r="B4">
        <v>4099</v>
      </c>
      <c r="C4" t="s">
        <v>0</v>
      </c>
      <c r="D4">
        <v>1</v>
      </c>
      <c r="E4" t="s">
        <v>6</v>
      </c>
      <c r="F4">
        <v>3</v>
      </c>
    </row>
    <row r="5" spans="1:6" x14ac:dyDescent="0.25">
      <c r="A5" t="s">
        <v>7</v>
      </c>
      <c r="B5">
        <v>4100</v>
      </c>
      <c r="C5" t="s">
        <v>0</v>
      </c>
      <c r="D5">
        <v>1</v>
      </c>
      <c r="E5" t="s">
        <v>8</v>
      </c>
      <c r="F5">
        <v>4</v>
      </c>
    </row>
    <row r="6" spans="1:6" x14ac:dyDescent="0.25">
      <c r="A6" t="s">
        <v>9</v>
      </c>
      <c r="B6">
        <v>4101</v>
      </c>
      <c r="C6" t="s">
        <v>0</v>
      </c>
      <c r="D6">
        <v>1</v>
      </c>
      <c r="E6" t="s">
        <v>10</v>
      </c>
      <c r="F6">
        <v>5</v>
      </c>
    </row>
    <row r="7" spans="1:6" x14ac:dyDescent="0.25">
      <c r="A7" t="s">
        <v>11</v>
      </c>
      <c r="B7">
        <v>4102</v>
      </c>
      <c r="C7" t="s">
        <v>0</v>
      </c>
      <c r="D7">
        <v>1</v>
      </c>
      <c r="E7" t="s">
        <v>12</v>
      </c>
      <c r="F7">
        <v>6</v>
      </c>
    </row>
    <row r="8" spans="1:6" x14ac:dyDescent="0.25">
      <c r="A8" t="s">
        <v>13</v>
      </c>
      <c r="B8">
        <v>4103</v>
      </c>
      <c r="C8" t="s">
        <v>0</v>
      </c>
      <c r="D8">
        <v>1</v>
      </c>
      <c r="E8" t="s">
        <v>14</v>
      </c>
      <c r="F8">
        <v>7</v>
      </c>
    </row>
    <row r="9" spans="1:6" x14ac:dyDescent="0.25">
      <c r="A9" t="s">
        <v>15</v>
      </c>
      <c r="B9">
        <v>4104</v>
      </c>
      <c r="C9" t="s">
        <v>0</v>
      </c>
      <c r="D9">
        <v>1</v>
      </c>
      <c r="E9" t="s">
        <v>16</v>
      </c>
      <c r="F9">
        <v>8</v>
      </c>
    </row>
    <row r="10" spans="1:6" x14ac:dyDescent="0.25">
      <c r="A10" t="s">
        <v>17</v>
      </c>
      <c r="B10">
        <v>4105</v>
      </c>
      <c r="C10" t="s">
        <v>0</v>
      </c>
      <c r="D10">
        <v>1</v>
      </c>
      <c r="E10" t="s">
        <v>18</v>
      </c>
      <c r="F10">
        <v>9</v>
      </c>
    </row>
    <row r="11" spans="1:6" x14ac:dyDescent="0.25">
      <c r="A11" t="s">
        <v>19</v>
      </c>
      <c r="B11">
        <v>4106</v>
      </c>
      <c r="C11" t="s">
        <v>0</v>
      </c>
      <c r="D11">
        <v>1</v>
      </c>
      <c r="E11" t="s">
        <v>20</v>
      </c>
      <c r="F11">
        <v>10</v>
      </c>
    </row>
    <row r="12" spans="1:6" x14ac:dyDescent="0.25">
      <c r="A12" t="s">
        <v>21</v>
      </c>
      <c r="B12">
        <v>4107</v>
      </c>
      <c r="C12" t="s">
        <v>0</v>
      </c>
      <c r="D12">
        <v>1</v>
      </c>
      <c r="E12" t="s">
        <v>22</v>
      </c>
      <c r="F12">
        <v>16</v>
      </c>
    </row>
    <row r="13" spans="1:6" x14ac:dyDescent="0.25">
      <c r="A13" t="s">
        <v>23</v>
      </c>
      <c r="B13">
        <v>4108</v>
      </c>
      <c r="C13" t="s">
        <v>0</v>
      </c>
      <c r="D13">
        <v>1</v>
      </c>
      <c r="E13" t="s">
        <v>24</v>
      </c>
      <c r="F13">
        <v>14</v>
      </c>
    </row>
    <row r="14" spans="1:6" x14ac:dyDescent="0.25">
      <c r="A14" t="s">
        <v>25</v>
      </c>
      <c r="B14">
        <v>4109</v>
      </c>
      <c r="C14" t="s">
        <v>0</v>
      </c>
      <c r="D14">
        <v>1</v>
      </c>
      <c r="E14" t="s">
        <v>26</v>
      </c>
      <c r="F14">
        <v>15</v>
      </c>
    </row>
    <row r="15" spans="1:6" x14ac:dyDescent="0.25">
      <c r="A15" t="s">
        <v>27</v>
      </c>
      <c r="B15">
        <v>4110</v>
      </c>
      <c r="C15" t="s">
        <v>0</v>
      </c>
      <c r="D15">
        <v>1</v>
      </c>
      <c r="E15" t="s">
        <v>28</v>
      </c>
      <c r="F15">
        <v>11</v>
      </c>
    </row>
    <row r="16" spans="1:6" x14ac:dyDescent="0.25">
      <c r="A16" t="s">
        <v>29</v>
      </c>
      <c r="B16">
        <v>4111</v>
      </c>
      <c r="C16" t="s">
        <v>0</v>
      </c>
      <c r="D16">
        <v>1</v>
      </c>
      <c r="E16" t="s">
        <v>30</v>
      </c>
      <c r="F16">
        <v>12</v>
      </c>
    </row>
    <row r="17" spans="1:6" x14ac:dyDescent="0.25">
      <c r="A17" t="s">
        <v>31</v>
      </c>
      <c r="B17">
        <v>4112</v>
      </c>
      <c r="C17" t="s">
        <v>0</v>
      </c>
      <c r="D17">
        <v>1</v>
      </c>
      <c r="E17" t="s">
        <v>32</v>
      </c>
      <c r="F17">
        <v>13</v>
      </c>
    </row>
    <row r="18" spans="1:6" x14ac:dyDescent="0.25">
      <c r="A18" t="s">
        <v>34</v>
      </c>
      <c r="B18">
        <v>8193</v>
      </c>
      <c r="C18" t="s">
        <v>33</v>
      </c>
      <c r="D18">
        <v>2</v>
      </c>
      <c r="E18" t="s">
        <v>35</v>
      </c>
      <c r="F18">
        <v>17</v>
      </c>
    </row>
    <row r="19" spans="1:6" x14ac:dyDescent="0.25">
      <c r="A19" t="s">
        <v>36</v>
      </c>
      <c r="B19">
        <v>8194</v>
      </c>
      <c r="C19" t="s">
        <v>33</v>
      </c>
      <c r="D19">
        <v>2</v>
      </c>
      <c r="E19" t="s">
        <v>37</v>
      </c>
      <c r="F19">
        <v>18</v>
      </c>
    </row>
    <row r="20" spans="1:6" x14ac:dyDescent="0.25">
      <c r="A20" t="s">
        <v>38</v>
      </c>
      <c r="B20">
        <v>8195</v>
      </c>
      <c r="C20" t="s">
        <v>33</v>
      </c>
      <c r="D20">
        <v>2</v>
      </c>
      <c r="E20" t="s">
        <v>16</v>
      </c>
      <c r="F20">
        <v>8</v>
      </c>
    </row>
    <row r="21" spans="1:6" x14ac:dyDescent="0.25">
      <c r="A21" t="s">
        <v>39</v>
      </c>
      <c r="B21">
        <v>8196</v>
      </c>
      <c r="C21" t="s">
        <v>33</v>
      </c>
      <c r="D21">
        <v>2</v>
      </c>
      <c r="E21" t="s">
        <v>18</v>
      </c>
      <c r="F21">
        <v>9</v>
      </c>
    </row>
    <row r="22" spans="1:6" x14ac:dyDescent="0.25">
      <c r="A22" t="s">
        <v>40</v>
      </c>
      <c r="B22">
        <v>8197</v>
      </c>
      <c r="C22" t="s">
        <v>33</v>
      </c>
      <c r="D22">
        <v>2</v>
      </c>
      <c r="E22" t="s">
        <v>41</v>
      </c>
      <c r="F22">
        <v>19</v>
      </c>
    </row>
    <row r="23" spans="1:6" x14ac:dyDescent="0.25">
      <c r="A23" t="s">
        <v>42</v>
      </c>
      <c r="B23">
        <v>8198</v>
      </c>
      <c r="C23" t="s">
        <v>33</v>
      </c>
      <c r="D23">
        <v>2</v>
      </c>
      <c r="E23" t="s">
        <v>43</v>
      </c>
      <c r="F23">
        <v>20</v>
      </c>
    </row>
    <row r="24" spans="1:6" x14ac:dyDescent="0.25">
      <c r="A24" t="s">
        <v>45</v>
      </c>
      <c r="B24">
        <v>16385</v>
      </c>
      <c r="C24" t="s">
        <v>44</v>
      </c>
      <c r="D24">
        <v>3</v>
      </c>
      <c r="E24" t="s">
        <v>2</v>
      </c>
      <c r="F24">
        <v>1</v>
      </c>
    </row>
    <row r="25" spans="1:6" x14ac:dyDescent="0.25">
      <c r="A25" t="s">
        <v>46</v>
      </c>
      <c r="B25">
        <v>16386</v>
      </c>
      <c r="C25" t="s">
        <v>44</v>
      </c>
      <c r="D25">
        <v>3</v>
      </c>
      <c r="E25" t="s">
        <v>4</v>
      </c>
      <c r="F25">
        <v>2</v>
      </c>
    </row>
    <row r="26" spans="1:6" x14ac:dyDescent="0.25">
      <c r="A26" t="s">
        <v>47</v>
      </c>
      <c r="B26">
        <v>16387</v>
      </c>
      <c r="C26" t="s">
        <v>44</v>
      </c>
      <c r="D26">
        <v>3</v>
      </c>
      <c r="E26" t="s">
        <v>6</v>
      </c>
      <c r="F26">
        <v>3</v>
      </c>
    </row>
    <row r="27" spans="1:6" x14ac:dyDescent="0.25">
      <c r="A27" t="s">
        <v>48</v>
      </c>
      <c r="B27">
        <v>16388</v>
      </c>
      <c r="C27" t="s">
        <v>44</v>
      </c>
      <c r="D27">
        <v>3</v>
      </c>
      <c r="E27" t="s">
        <v>8</v>
      </c>
      <c r="F27">
        <v>4</v>
      </c>
    </row>
    <row r="28" spans="1:6" x14ac:dyDescent="0.25">
      <c r="A28" t="s">
        <v>49</v>
      </c>
      <c r="B28">
        <v>16389</v>
      </c>
      <c r="C28" t="s">
        <v>44</v>
      </c>
      <c r="D28">
        <v>3</v>
      </c>
      <c r="E28" t="s">
        <v>10</v>
      </c>
      <c r="F28">
        <v>5</v>
      </c>
    </row>
    <row r="29" spans="1:6" x14ac:dyDescent="0.25">
      <c r="A29" t="s">
        <v>50</v>
      </c>
      <c r="B29">
        <v>16390</v>
      </c>
      <c r="C29" t="s">
        <v>44</v>
      </c>
      <c r="D29">
        <v>3</v>
      </c>
      <c r="E29" t="s">
        <v>14</v>
      </c>
      <c r="F29">
        <v>7</v>
      </c>
    </row>
    <row r="30" spans="1:6" x14ac:dyDescent="0.25">
      <c r="A30" t="s">
        <v>51</v>
      </c>
      <c r="B30">
        <v>16391</v>
      </c>
      <c r="C30" t="s">
        <v>44</v>
      </c>
      <c r="D30">
        <v>3</v>
      </c>
      <c r="E30" t="s">
        <v>16</v>
      </c>
      <c r="F30">
        <v>8</v>
      </c>
    </row>
    <row r="31" spans="1:6" x14ac:dyDescent="0.25">
      <c r="A31" t="s">
        <v>52</v>
      </c>
      <c r="B31">
        <v>16392</v>
      </c>
      <c r="C31" t="s">
        <v>44</v>
      </c>
      <c r="D31">
        <v>3</v>
      </c>
      <c r="E31" t="s">
        <v>18</v>
      </c>
      <c r="F31">
        <v>9</v>
      </c>
    </row>
    <row r="32" spans="1:6" x14ac:dyDescent="0.25">
      <c r="A32" t="s">
        <v>53</v>
      </c>
      <c r="B32">
        <v>16393</v>
      </c>
      <c r="C32" t="s">
        <v>44</v>
      </c>
      <c r="D32">
        <v>3</v>
      </c>
      <c r="E32" t="s">
        <v>20</v>
      </c>
      <c r="F32">
        <v>10</v>
      </c>
    </row>
    <row r="33" spans="1:6" x14ac:dyDescent="0.25">
      <c r="A33" t="s">
        <v>54</v>
      </c>
      <c r="B33">
        <v>16394</v>
      </c>
      <c r="C33" t="s">
        <v>44</v>
      </c>
      <c r="D33">
        <v>3</v>
      </c>
      <c r="E33" t="s">
        <v>22</v>
      </c>
      <c r="F33">
        <v>16</v>
      </c>
    </row>
    <row r="34" spans="1:6" x14ac:dyDescent="0.25">
      <c r="A34" t="s">
        <v>55</v>
      </c>
      <c r="B34">
        <v>16395</v>
      </c>
      <c r="C34" t="s">
        <v>44</v>
      </c>
      <c r="D34">
        <v>3</v>
      </c>
      <c r="E34" t="s">
        <v>28</v>
      </c>
      <c r="F34">
        <v>11</v>
      </c>
    </row>
    <row r="35" spans="1:6" x14ac:dyDescent="0.25">
      <c r="A35" t="s">
        <v>56</v>
      </c>
      <c r="B35">
        <v>16396</v>
      </c>
      <c r="C35" t="s">
        <v>44</v>
      </c>
      <c r="D35">
        <v>3</v>
      </c>
      <c r="E35" t="s">
        <v>30</v>
      </c>
      <c r="F35">
        <v>12</v>
      </c>
    </row>
    <row r="36" spans="1:6" x14ac:dyDescent="0.25">
      <c r="A36" t="s">
        <v>57</v>
      </c>
      <c r="B36">
        <v>16397</v>
      </c>
      <c r="C36" t="s">
        <v>44</v>
      </c>
      <c r="D36">
        <v>3</v>
      </c>
      <c r="E36" t="s">
        <v>32</v>
      </c>
      <c r="F36">
        <v>13</v>
      </c>
    </row>
  </sheetData>
  <autoFilter ref="A1:F36" xr:uid="{91D87FBD-6B16-464F-926C-B79604E89A98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33E9-C932-462A-AFC4-1AEFD64FD264}">
  <dimension ref="A1:J86"/>
  <sheetViews>
    <sheetView workbookViewId="0">
      <selection activeCell="D2" sqref="D2"/>
    </sheetView>
  </sheetViews>
  <sheetFormatPr defaultRowHeight="15.75" x14ac:dyDescent="0.25"/>
  <sheetData>
    <row r="1" spans="1:10" x14ac:dyDescent="0.25">
      <c r="A1" s="1" t="s">
        <v>60</v>
      </c>
      <c r="B1" s="1" t="s">
        <v>61</v>
      </c>
      <c r="C1" s="3"/>
      <c r="D1" s="3"/>
      <c r="E1" s="1" t="s">
        <v>63</v>
      </c>
      <c r="F1" s="5" t="s">
        <v>64</v>
      </c>
      <c r="G1" s="1" t="s">
        <v>65</v>
      </c>
      <c r="I1" s="1" t="s">
        <v>62</v>
      </c>
      <c r="J1" s="5" t="s">
        <v>64</v>
      </c>
    </row>
    <row r="2" spans="1:10" x14ac:dyDescent="0.25">
      <c r="A2" s="2">
        <v>1</v>
      </c>
      <c r="B2" s="2">
        <v>1</v>
      </c>
      <c r="C2" s="4">
        <f>VLOOKUP(I2,Sheet1!B:F,3,FALSE)</f>
        <v>2</v>
      </c>
      <c r="D2" s="4">
        <f>VLOOKUP(I2,Sheet1!B:F,5,FALSE)</f>
        <v>17</v>
      </c>
      <c r="E2" s="2">
        <v>1</v>
      </c>
      <c r="F2" s="6" t="str">
        <f>IF(E2=1,J2,J2*1000)</f>
        <v>10</v>
      </c>
      <c r="G2" s="2">
        <v>11</v>
      </c>
      <c r="I2" s="2">
        <v>8193</v>
      </c>
      <c r="J2" s="6" t="s">
        <v>66</v>
      </c>
    </row>
    <row r="3" spans="1:10" x14ac:dyDescent="0.25">
      <c r="A3" s="2">
        <v>2</v>
      </c>
      <c r="B3" s="2">
        <v>2</v>
      </c>
      <c r="C3" s="4">
        <f>VLOOKUP(I3,Sheet1!B:F,3,FALSE)</f>
        <v>2</v>
      </c>
      <c r="D3" s="4">
        <f>VLOOKUP(I3,Sheet1!B:F,5,FALSE)</f>
        <v>17</v>
      </c>
      <c r="E3" s="2">
        <v>1</v>
      </c>
      <c r="F3" s="6" t="str">
        <f>IF(E3=1,J3,J3*1000)</f>
        <v>50</v>
      </c>
      <c r="G3" s="2">
        <v>12</v>
      </c>
      <c r="I3" s="2">
        <v>8193</v>
      </c>
      <c r="J3" s="6" t="s">
        <v>67</v>
      </c>
    </row>
    <row r="4" spans="1:10" x14ac:dyDescent="0.25">
      <c r="A4" s="2">
        <v>3</v>
      </c>
      <c r="B4" s="2">
        <v>3</v>
      </c>
      <c r="C4" s="4">
        <f>VLOOKUP(I4,Sheet1!B:F,3,FALSE)</f>
        <v>2</v>
      </c>
      <c r="D4" s="4">
        <f>VLOOKUP(I4,Sheet1!B:F,5,FALSE)</f>
        <v>17</v>
      </c>
      <c r="E4" s="2">
        <v>1</v>
      </c>
      <c r="F4" s="6" t="str">
        <f>IF(E4=1,J4,J4*1000)</f>
        <v>100</v>
      </c>
      <c r="G4" s="2">
        <v>13</v>
      </c>
      <c r="I4" s="2">
        <v>8193</v>
      </c>
      <c r="J4" s="6" t="s">
        <v>68</v>
      </c>
    </row>
    <row r="5" spans="1:10" x14ac:dyDescent="0.25">
      <c r="A5" s="2">
        <v>4</v>
      </c>
      <c r="B5" s="2">
        <v>4</v>
      </c>
      <c r="C5" s="4">
        <f>VLOOKUP(I5,Sheet1!B:F,3,FALSE)</f>
        <v>2</v>
      </c>
      <c r="D5" s="4">
        <f>VLOOKUP(I5,Sheet1!B:F,5,FALSE)</f>
        <v>17</v>
      </c>
      <c r="E5" s="2">
        <v>1</v>
      </c>
      <c r="F5" s="6" t="str">
        <f>IF(E5=1,J5,J5*1000)</f>
        <v>200</v>
      </c>
      <c r="G5" s="2">
        <v>14</v>
      </c>
      <c r="I5" s="2">
        <v>8193</v>
      </c>
      <c r="J5" s="6" t="s">
        <v>69</v>
      </c>
    </row>
    <row r="6" spans="1:10" x14ac:dyDescent="0.25">
      <c r="A6" s="2">
        <v>5</v>
      </c>
      <c r="B6" s="2">
        <v>5</v>
      </c>
      <c r="C6" s="4">
        <f>VLOOKUP(I6,Sheet1!B:F,3,FALSE)</f>
        <v>2</v>
      </c>
      <c r="D6" s="4">
        <f>VLOOKUP(I6,Sheet1!B:F,5,FALSE)</f>
        <v>17</v>
      </c>
      <c r="E6" s="2">
        <v>1</v>
      </c>
      <c r="F6" s="6" t="str">
        <f>IF(E6=1,J6,J6*1000)</f>
        <v>500</v>
      </c>
      <c r="G6" s="2">
        <v>15</v>
      </c>
      <c r="I6" s="2">
        <v>8193</v>
      </c>
      <c r="J6" s="6" t="s">
        <v>70</v>
      </c>
    </row>
    <row r="7" spans="1:10" x14ac:dyDescent="0.25">
      <c r="A7" s="2">
        <v>6</v>
      </c>
      <c r="B7" s="2">
        <v>1</v>
      </c>
      <c r="C7" s="4">
        <f>VLOOKUP(I7,Sheet1!B:F,3,FALSE)</f>
        <v>2</v>
      </c>
      <c r="D7" s="4">
        <f>VLOOKUP(I7,Sheet1!B:F,5,FALSE)</f>
        <v>18</v>
      </c>
      <c r="E7" s="2">
        <v>1</v>
      </c>
      <c r="F7" s="6" t="str">
        <f>IF(E7=1,J7,J7*1000)</f>
        <v>10</v>
      </c>
      <c r="G7" s="2">
        <v>21</v>
      </c>
      <c r="I7" s="2">
        <v>8194</v>
      </c>
      <c r="J7" s="6" t="s">
        <v>66</v>
      </c>
    </row>
    <row r="8" spans="1:10" x14ac:dyDescent="0.25">
      <c r="A8" s="2">
        <v>7</v>
      </c>
      <c r="B8" s="2">
        <v>2</v>
      </c>
      <c r="C8" s="4">
        <f>VLOOKUP(I8,Sheet1!B:F,3,FALSE)</f>
        <v>2</v>
      </c>
      <c r="D8" s="4">
        <f>VLOOKUP(I8,Sheet1!B:F,5,FALSE)</f>
        <v>18</v>
      </c>
      <c r="E8" s="2">
        <v>1</v>
      </c>
      <c r="F8" s="6" t="str">
        <f>IF(E8=1,J8,J8*1000)</f>
        <v>50</v>
      </c>
      <c r="G8" s="2">
        <v>22</v>
      </c>
      <c r="I8" s="2">
        <v>8194</v>
      </c>
      <c r="J8" s="6" t="s">
        <v>67</v>
      </c>
    </row>
    <row r="9" spans="1:10" x14ac:dyDescent="0.25">
      <c r="A9" s="2">
        <v>8</v>
      </c>
      <c r="B9" s="2">
        <v>3</v>
      </c>
      <c r="C9" s="4">
        <f>VLOOKUP(I9,Sheet1!B:F,3,FALSE)</f>
        <v>2</v>
      </c>
      <c r="D9" s="4">
        <f>VLOOKUP(I9,Sheet1!B:F,5,FALSE)</f>
        <v>18</v>
      </c>
      <c r="E9" s="2">
        <v>1</v>
      </c>
      <c r="F9" s="6" t="str">
        <f>IF(E9=1,J9,J9*1000)</f>
        <v>100</v>
      </c>
      <c r="G9" s="2">
        <v>23</v>
      </c>
      <c r="I9" s="2">
        <v>8194</v>
      </c>
      <c r="J9" s="6" t="s">
        <v>68</v>
      </c>
    </row>
    <row r="10" spans="1:10" x14ac:dyDescent="0.25">
      <c r="A10" s="2">
        <v>9</v>
      </c>
      <c r="B10" s="2">
        <v>4</v>
      </c>
      <c r="C10" s="4">
        <f>VLOOKUP(I10,Sheet1!B:F,3,FALSE)</f>
        <v>2</v>
      </c>
      <c r="D10" s="4">
        <f>VLOOKUP(I10,Sheet1!B:F,5,FALSE)</f>
        <v>18</v>
      </c>
      <c r="E10" s="2">
        <v>1</v>
      </c>
      <c r="F10" s="6" t="str">
        <f>IF(E10=1,J10,J10*1000)</f>
        <v>200</v>
      </c>
      <c r="G10" s="2">
        <v>24</v>
      </c>
      <c r="I10" s="2">
        <v>8194</v>
      </c>
      <c r="J10" s="6" t="s">
        <v>69</v>
      </c>
    </row>
    <row r="11" spans="1:10" x14ac:dyDescent="0.25">
      <c r="A11" s="2">
        <v>10</v>
      </c>
      <c r="B11" s="2">
        <v>5</v>
      </c>
      <c r="C11" s="4">
        <f>VLOOKUP(I11,Sheet1!B:F,3,FALSE)</f>
        <v>2</v>
      </c>
      <c r="D11" s="4">
        <f>VLOOKUP(I11,Sheet1!B:F,5,FALSE)</f>
        <v>18</v>
      </c>
      <c r="E11" s="2">
        <v>1</v>
      </c>
      <c r="F11" s="6" t="str">
        <f>IF(E11=1,J11,J11*1000)</f>
        <v>500</v>
      </c>
      <c r="G11" s="2">
        <v>25</v>
      </c>
      <c r="I11" s="2">
        <v>8194</v>
      </c>
      <c r="J11" s="6" t="s">
        <v>70</v>
      </c>
    </row>
    <row r="12" spans="1:10" x14ac:dyDescent="0.25">
      <c r="A12" s="2">
        <v>11</v>
      </c>
      <c r="B12" s="2">
        <v>1</v>
      </c>
      <c r="C12" s="4">
        <f>VLOOKUP(I12,Sheet1!B:F,3,FALSE)</f>
        <v>2</v>
      </c>
      <c r="D12" s="4">
        <f>VLOOKUP(I12,Sheet1!B:F,5,FALSE)</f>
        <v>8</v>
      </c>
      <c r="E12" s="2">
        <v>1</v>
      </c>
      <c r="F12" s="6" t="str">
        <f>IF(E12=1,J12,J12*1000)</f>
        <v>15</v>
      </c>
      <c r="G12" s="2">
        <v>31</v>
      </c>
      <c r="I12" s="2">
        <v>8195</v>
      </c>
      <c r="J12" s="6" t="s">
        <v>71</v>
      </c>
    </row>
    <row r="13" spans="1:10" x14ac:dyDescent="0.25">
      <c r="A13" s="2">
        <v>12</v>
      </c>
      <c r="B13" s="2">
        <v>2</v>
      </c>
      <c r="C13" s="4">
        <f>VLOOKUP(I13,Sheet1!B:F,3,FALSE)</f>
        <v>2</v>
      </c>
      <c r="D13" s="4">
        <f>VLOOKUP(I13,Sheet1!B:F,5,FALSE)</f>
        <v>8</v>
      </c>
      <c r="E13" s="2">
        <v>1</v>
      </c>
      <c r="F13" s="6" t="str">
        <f>IF(E13=1,J13,J13*1000)</f>
        <v>75</v>
      </c>
      <c r="G13" s="2">
        <v>32</v>
      </c>
      <c r="I13" s="2">
        <v>8195</v>
      </c>
      <c r="J13" s="6" t="s">
        <v>72</v>
      </c>
    </row>
    <row r="14" spans="1:10" x14ac:dyDescent="0.25">
      <c r="A14" s="2">
        <v>13</v>
      </c>
      <c r="B14" s="2">
        <v>3</v>
      </c>
      <c r="C14" s="4">
        <f>VLOOKUP(I14,Sheet1!B:F,3,FALSE)</f>
        <v>2</v>
      </c>
      <c r="D14" s="4">
        <f>VLOOKUP(I14,Sheet1!B:F,5,FALSE)</f>
        <v>8</v>
      </c>
      <c r="E14" s="2">
        <v>1</v>
      </c>
      <c r="F14" s="6" t="str">
        <f>IF(E14=1,J14,J14*1000)</f>
        <v>150</v>
      </c>
      <c r="G14" s="2">
        <v>33</v>
      </c>
      <c r="I14" s="2">
        <v>8195</v>
      </c>
      <c r="J14" s="6" t="s">
        <v>73</v>
      </c>
    </row>
    <row r="15" spans="1:10" x14ac:dyDescent="0.25">
      <c r="A15" s="2">
        <v>14</v>
      </c>
      <c r="B15" s="2">
        <v>4</v>
      </c>
      <c r="C15" s="4">
        <f>VLOOKUP(I15,Sheet1!B:F,3,FALSE)</f>
        <v>2</v>
      </c>
      <c r="D15" s="4">
        <f>VLOOKUP(I15,Sheet1!B:F,5,FALSE)</f>
        <v>8</v>
      </c>
      <c r="E15" s="2">
        <v>1</v>
      </c>
      <c r="F15" s="6" t="str">
        <f>IF(E15=1,J15,J15*1000)</f>
        <v>300</v>
      </c>
      <c r="G15" s="2">
        <v>34</v>
      </c>
      <c r="I15" s="2">
        <v>8195</v>
      </c>
      <c r="J15" s="6" t="s">
        <v>74</v>
      </c>
    </row>
    <row r="16" spans="1:10" x14ac:dyDescent="0.25">
      <c r="A16" s="2">
        <v>15</v>
      </c>
      <c r="B16" s="2">
        <v>5</v>
      </c>
      <c r="C16" s="4">
        <f>VLOOKUP(I16,Sheet1!B:F,3,FALSE)</f>
        <v>2</v>
      </c>
      <c r="D16" s="4">
        <f>VLOOKUP(I16,Sheet1!B:F,5,FALSE)</f>
        <v>8</v>
      </c>
      <c r="E16" s="2">
        <v>1</v>
      </c>
      <c r="F16" s="6" t="str">
        <f>IF(E16=1,J16,J16*1000)</f>
        <v>750</v>
      </c>
      <c r="G16" s="2">
        <v>35</v>
      </c>
      <c r="I16" s="2">
        <v>8195</v>
      </c>
      <c r="J16" s="6" t="s">
        <v>75</v>
      </c>
    </row>
    <row r="17" spans="1:10" x14ac:dyDescent="0.25">
      <c r="A17" s="2">
        <v>16</v>
      </c>
      <c r="B17" s="2">
        <v>1</v>
      </c>
      <c r="C17" s="4">
        <f>VLOOKUP(I17,Sheet1!B:F,3,FALSE)</f>
        <v>2</v>
      </c>
      <c r="D17" s="4">
        <f>VLOOKUP(I17,Sheet1!B:F,5,FALSE)</f>
        <v>9</v>
      </c>
      <c r="E17" s="2">
        <v>1</v>
      </c>
      <c r="F17" s="6" t="str">
        <f>IF(E17=1,J17,J17*1000)</f>
        <v>15</v>
      </c>
      <c r="G17" s="2">
        <v>41</v>
      </c>
      <c r="I17" s="2">
        <v>8196</v>
      </c>
      <c r="J17" s="6" t="s">
        <v>71</v>
      </c>
    </row>
    <row r="18" spans="1:10" x14ac:dyDescent="0.25">
      <c r="A18" s="2">
        <v>17</v>
      </c>
      <c r="B18" s="2">
        <v>2</v>
      </c>
      <c r="C18" s="4">
        <f>VLOOKUP(I18,Sheet1!B:F,3,FALSE)</f>
        <v>2</v>
      </c>
      <c r="D18" s="4">
        <f>VLOOKUP(I18,Sheet1!B:F,5,FALSE)</f>
        <v>9</v>
      </c>
      <c r="E18" s="2">
        <v>1</v>
      </c>
      <c r="F18" s="6" t="str">
        <f>IF(E18=1,J18,J18*1000)</f>
        <v>30</v>
      </c>
      <c r="G18" s="2">
        <v>42</v>
      </c>
      <c r="I18" s="2">
        <v>8196</v>
      </c>
      <c r="J18" s="6" t="s">
        <v>76</v>
      </c>
    </row>
    <row r="19" spans="1:10" x14ac:dyDescent="0.25">
      <c r="A19" s="2">
        <v>18</v>
      </c>
      <c r="B19" s="2">
        <v>3</v>
      </c>
      <c r="C19" s="4">
        <f>VLOOKUP(I19,Sheet1!B:F,3,FALSE)</f>
        <v>2</v>
      </c>
      <c r="D19" s="4">
        <f>VLOOKUP(I19,Sheet1!B:F,5,FALSE)</f>
        <v>9</v>
      </c>
      <c r="E19" s="2">
        <v>1</v>
      </c>
      <c r="F19" s="6" t="str">
        <f>IF(E19=1,J19,J19*1000)</f>
        <v>60</v>
      </c>
      <c r="G19" s="2">
        <v>43</v>
      </c>
      <c r="I19" s="2">
        <v>8196</v>
      </c>
      <c r="J19" s="6" t="s">
        <v>77</v>
      </c>
    </row>
    <row r="20" spans="1:10" x14ac:dyDescent="0.25">
      <c r="A20" s="2">
        <v>19</v>
      </c>
      <c r="B20" s="2">
        <v>4</v>
      </c>
      <c r="C20" s="4">
        <f>VLOOKUP(I20,Sheet1!B:F,3,FALSE)</f>
        <v>2</v>
      </c>
      <c r="D20" s="4">
        <f>VLOOKUP(I20,Sheet1!B:F,5,FALSE)</f>
        <v>9</v>
      </c>
      <c r="E20" s="2">
        <v>1</v>
      </c>
      <c r="F20" s="6" t="str">
        <f>IF(E20=1,J20,J20*1000)</f>
        <v>120</v>
      </c>
      <c r="G20" s="2">
        <v>44</v>
      </c>
      <c r="I20" s="2">
        <v>8196</v>
      </c>
      <c r="J20" s="6" t="s">
        <v>78</v>
      </c>
    </row>
    <row r="21" spans="1:10" x14ac:dyDescent="0.25">
      <c r="A21" s="2">
        <v>20</v>
      </c>
      <c r="B21" s="2">
        <v>5</v>
      </c>
      <c r="C21" s="4">
        <f>VLOOKUP(I21,Sheet1!B:F,3,FALSE)</f>
        <v>2</v>
      </c>
      <c r="D21" s="4">
        <f>VLOOKUP(I21,Sheet1!B:F,5,FALSE)</f>
        <v>9</v>
      </c>
      <c r="E21" s="2">
        <v>1</v>
      </c>
      <c r="F21" s="6" t="str">
        <f>IF(E21=1,J21,J21*1000)</f>
        <v>240</v>
      </c>
      <c r="G21" s="2">
        <v>45</v>
      </c>
      <c r="I21" s="2">
        <v>8196</v>
      </c>
      <c r="J21" s="6" t="s">
        <v>79</v>
      </c>
    </row>
    <row r="22" spans="1:10" x14ac:dyDescent="0.25">
      <c r="A22" s="2">
        <v>21</v>
      </c>
      <c r="B22" s="2">
        <v>1</v>
      </c>
      <c r="C22" s="4">
        <f>VLOOKUP(I22,Sheet1!B:F,3,FALSE)</f>
        <v>2</v>
      </c>
      <c r="D22" s="4">
        <f>VLOOKUP(I22,Sheet1!B:F,5,FALSE)</f>
        <v>19</v>
      </c>
      <c r="E22" s="2">
        <v>1</v>
      </c>
      <c r="F22" s="6" t="str">
        <f>IF(E22=1,J22,J22*1000)</f>
        <v>5</v>
      </c>
      <c r="G22" s="2">
        <v>51</v>
      </c>
      <c r="I22" s="2">
        <v>8197</v>
      </c>
      <c r="J22" s="6" t="s">
        <v>80</v>
      </c>
    </row>
    <row r="23" spans="1:10" x14ac:dyDescent="0.25">
      <c r="A23" s="2">
        <v>22</v>
      </c>
      <c r="B23" s="2">
        <v>2</v>
      </c>
      <c r="C23" s="4">
        <f>VLOOKUP(I23,Sheet1!B:F,3,FALSE)</f>
        <v>2</v>
      </c>
      <c r="D23" s="4">
        <f>VLOOKUP(I23,Sheet1!B:F,5,FALSE)</f>
        <v>19</v>
      </c>
      <c r="E23" s="2">
        <v>1</v>
      </c>
      <c r="F23" s="6" t="str">
        <f>IF(E23=1,J23,J23*1000)</f>
        <v>10</v>
      </c>
      <c r="G23" s="2">
        <v>52</v>
      </c>
      <c r="I23" s="2">
        <v>8197</v>
      </c>
      <c r="J23" s="6" t="s">
        <v>66</v>
      </c>
    </row>
    <row r="24" spans="1:10" x14ac:dyDescent="0.25">
      <c r="A24" s="2">
        <v>23</v>
      </c>
      <c r="B24" s="2">
        <v>3</v>
      </c>
      <c r="C24" s="4">
        <f>VLOOKUP(I24,Sheet1!B:F,3,FALSE)</f>
        <v>2</v>
      </c>
      <c r="D24" s="4">
        <f>VLOOKUP(I24,Sheet1!B:F,5,FALSE)</f>
        <v>19</v>
      </c>
      <c r="E24" s="2">
        <v>1</v>
      </c>
      <c r="F24" s="6" t="str">
        <f>IF(E24=1,J24,J24*1000)</f>
        <v>50</v>
      </c>
      <c r="G24" s="2">
        <v>53</v>
      </c>
      <c r="I24" s="2">
        <v>8197</v>
      </c>
      <c r="J24" s="6" t="s">
        <v>67</v>
      </c>
    </row>
    <row r="25" spans="1:10" x14ac:dyDescent="0.25">
      <c r="A25" s="2">
        <v>24</v>
      </c>
      <c r="B25" s="2">
        <v>4</v>
      </c>
      <c r="C25" s="4">
        <f>VLOOKUP(I25,Sheet1!B:F,3,FALSE)</f>
        <v>2</v>
      </c>
      <c r="D25" s="4">
        <f>VLOOKUP(I25,Sheet1!B:F,5,FALSE)</f>
        <v>19</v>
      </c>
      <c r="E25" s="2">
        <v>1</v>
      </c>
      <c r="F25" s="6" t="str">
        <f>IF(E25=1,J25,J25*1000)</f>
        <v>100</v>
      </c>
      <c r="G25" s="2">
        <v>54</v>
      </c>
      <c r="I25" s="2">
        <v>8197</v>
      </c>
      <c r="J25" s="6" t="s">
        <v>68</v>
      </c>
    </row>
    <row r="26" spans="1:10" x14ac:dyDescent="0.25">
      <c r="A26" s="2">
        <v>25</v>
      </c>
      <c r="B26" s="2">
        <v>5</v>
      </c>
      <c r="C26" s="4">
        <f>VLOOKUP(I26,Sheet1!B:F,3,FALSE)</f>
        <v>2</v>
      </c>
      <c r="D26" s="4">
        <f>VLOOKUP(I26,Sheet1!B:F,5,FALSE)</f>
        <v>19</v>
      </c>
      <c r="E26" s="2">
        <v>1</v>
      </c>
      <c r="F26" s="6" t="str">
        <f>IF(E26=1,J26,J26*1000)</f>
        <v>200</v>
      </c>
      <c r="G26" s="2">
        <v>55</v>
      </c>
      <c r="I26" s="2">
        <v>8197</v>
      </c>
      <c r="J26" s="6" t="s">
        <v>69</v>
      </c>
    </row>
    <row r="27" spans="1:10" x14ac:dyDescent="0.25">
      <c r="A27" s="2">
        <v>26</v>
      </c>
      <c r="B27" s="2">
        <v>1</v>
      </c>
      <c r="C27" s="4">
        <f>VLOOKUP(I27,Sheet1!B:F,3,FALSE)</f>
        <v>2</v>
      </c>
      <c r="D27" s="4">
        <f>VLOOKUP(I27,Sheet1!B:F,5,FALSE)</f>
        <v>20</v>
      </c>
      <c r="E27" s="2">
        <v>1</v>
      </c>
      <c r="F27" s="6" t="str">
        <f>IF(E27=1,J27,J27*1000)</f>
        <v>5</v>
      </c>
      <c r="G27" s="2">
        <v>61</v>
      </c>
      <c r="I27" s="2">
        <v>8198</v>
      </c>
      <c r="J27" s="6" t="s">
        <v>80</v>
      </c>
    </row>
    <row r="28" spans="1:10" x14ac:dyDescent="0.25">
      <c r="A28" s="2">
        <v>27</v>
      </c>
      <c r="B28" s="2">
        <v>2</v>
      </c>
      <c r="C28" s="4">
        <f>VLOOKUP(I28,Sheet1!B:F,3,FALSE)</f>
        <v>2</v>
      </c>
      <c r="D28" s="4">
        <f>VLOOKUP(I28,Sheet1!B:F,5,FALSE)</f>
        <v>20</v>
      </c>
      <c r="E28" s="2">
        <v>1</v>
      </c>
      <c r="F28" s="6" t="str">
        <f>IF(E28=1,J28,J28*1000)</f>
        <v>25</v>
      </c>
      <c r="G28" s="2">
        <v>62</v>
      </c>
      <c r="I28" s="2">
        <v>8198</v>
      </c>
      <c r="J28" s="6" t="s">
        <v>81</v>
      </c>
    </row>
    <row r="29" spans="1:10" x14ac:dyDescent="0.25">
      <c r="A29" s="2">
        <v>28</v>
      </c>
      <c r="B29" s="2">
        <v>3</v>
      </c>
      <c r="C29" s="4">
        <f>VLOOKUP(I29,Sheet1!B:F,3,FALSE)</f>
        <v>2</v>
      </c>
      <c r="D29" s="4">
        <f>VLOOKUP(I29,Sheet1!B:F,5,FALSE)</f>
        <v>20</v>
      </c>
      <c r="E29" s="2">
        <v>1</v>
      </c>
      <c r="F29" s="6" t="str">
        <f>IF(E29=1,J29,J29*1000)</f>
        <v>50</v>
      </c>
      <c r="G29" s="2">
        <v>63</v>
      </c>
      <c r="I29" s="2">
        <v>8198</v>
      </c>
      <c r="J29" s="6" t="s">
        <v>67</v>
      </c>
    </row>
    <row r="30" spans="1:10" x14ac:dyDescent="0.25">
      <c r="A30" s="2">
        <v>29</v>
      </c>
      <c r="B30" s="2">
        <v>4</v>
      </c>
      <c r="C30" s="4">
        <f>VLOOKUP(I30,Sheet1!B:F,3,FALSE)</f>
        <v>2</v>
      </c>
      <c r="D30" s="4">
        <f>VLOOKUP(I30,Sheet1!B:F,5,FALSE)</f>
        <v>20</v>
      </c>
      <c r="E30" s="2">
        <v>1</v>
      </c>
      <c r="F30" s="6" t="str">
        <f>IF(E30=1,J30,J30*1000)</f>
        <v>100</v>
      </c>
      <c r="G30" s="2">
        <v>64</v>
      </c>
      <c r="I30" s="2">
        <v>8198</v>
      </c>
      <c r="J30" s="6" t="s">
        <v>68</v>
      </c>
    </row>
    <row r="31" spans="1:10" x14ac:dyDescent="0.25">
      <c r="A31" s="2">
        <v>30</v>
      </c>
      <c r="B31" s="2">
        <v>5</v>
      </c>
      <c r="C31" s="4">
        <f>VLOOKUP(I31,Sheet1!B:F,3,FALSE)</f>
        <v>2</v>
      </c>
      <c r="D31" s="4">
        <f>VLOOKUP(I31,Sheet1!B:F,5,FALSE)</f>
        <v>20</v>
      </c>
      <c r="E31" s="2">
        <v>1</v>
      </c>
      <c r="F31" s="6" t="str">
        <f>IF(E31=1,J31,J31*1000)</f>
        <v>250</v>
      </c>
      <c r="G31" s="2">
        <v>65</v>
      </c>
      <c r="I31" s="2">
        <v>8198</v>
      </c>
      <c r="J31" s="6" t="s">
        <v>82</v>
      </c>
    </row>
    <row r="32" spans="1:10" x14ac:dyDescent="0.25">
      <c r="A32" s="2">
        <v>31</v>
      </c>
      <c r="B32" s="2">
        <v>1</v>
      </c>
      <c r="C32" s="4">
        <f>VLOOKUP(I32,Sheet1!B:F,3,FALSE)</f>
        <v>1</v>
      </c>
      <c r="D32" s="4">
        <f>VLOOKUP(I32,Sheet1!B:F,5,FALSE)</f>
        <v>1</v>
      </c>
      <c r="E32" s="2">
        <v>2</v>
      </c>
      <c r="F32" s="6">
        <f>IF(E32=1,J32,J32*1000)</f>
        <v>10</v>
      </c>
      <c r="G32" s="2">
        <v>71</v>
      </c>
      <c r="I32" s="2">
        <v>4097</v>
      </c>
      <c r="J32" s="6" t="s">
        <v>83</v>
      </c>
    </row>
    <row r="33" spans="1:10" x14ac:dyDescent="0.25">
      <c r="A33" s="2">
        <v>32</v>
      </c>
      <c r="B33" s="2">
        <v>2</v>
      </c>
      <c r="C33" s="4">
        <f>VLOOKUP(I33,Sheet1!B:F,3,FALSE)</f>
        <v>1</v>
      </c>
      <c r="D33" s="4">
        <f>VLOOKUP(I33,Sheet1!B:F,5,FALSE)</f>
        <v>1</v>
      </c>
      <c r="E33" s="2">
        <v>2</v>
      </c>
      <c r="F33" s="6">
        <f>IF(E33=1,J33,J33*1000)</f>
        <v>30</v>
      </c>
      <c r="G33" s="2">
        <v>72</v>
      </c>
      <c r="I33" s="2">
        <v>4097</v>
      </c>
      <c r="J33" s="6" t="s">
        <v>84</v>
      </c>
    </row>
    <row r="34" spans="1:10" x14ac:dyDescent="0.25">
      <c r="A34" s="2">
        <v>33</v>
      </c>
      <c r="B34" s="2">
        <v>3</v>
      </c>
      <c r="C34" s="4">
        <f>VLOOKUP(I34,Sheet1!B:F,3,FALSE)</f>
        <v>1</v>
      </c>
      <c r="D34" s="4">
        <f>VLOOKUP(I34,Sheet1!B:F,5,FALSE)</f>
        <v>1</v>
      </c>
      <c r="E34" s="2">
        <v>2</v>
      </c>
      <c r="F34" s="6">
        <f>IF(E34=1,J34,J34*1000)</f>
        <v>50</v>
      </c>
      <c r="G34" s="2">
        <v>73</v>
      </c>
      <c r="I34" s="2">
        <v>4097</v>
      </c>
      <c r="J34" s="6" t="s">
        <v>85</v>
      </c>
    </row>
    <row r="35" spans="1:10" x14ac:dyDescent="0.25">
      <c r="A35" s="2">
        <v>34</v>
      </c>
      <c r="B35" s="2">
        <v>4</v>
      </c>
      <c r="C35" s="4">
        <f>VLOOKUP(I35,Sheet1!B:F,3,FALSE)</f>
        <v>1</v>
      </c>
      <c r="D35" s="4">
        <f>VLOOKUP(I35,Sheet1!B:F,5,FALSE)</f>
        <v>1</v>
      </c>
      <c r="E35" s="2">
        <v>2</v>
      </c>
      <c r="F35" s="6">
        <f>IF(E35=1,J35,J35*1000)</f>
        <v>100</v>
      </c>
      <c r="G35" s="2">
        <v>74</v>
      </c>
      <c r="I35" s="2">
        <v>4097</v>
      </c>
      <c r="J35" s="6" t="s">
        <v>86</v>
      </c>
    </row>
    <row r="36" spans="1:10" x14ac:dyDescent="0.25">
      <c r="A36" s="2">
        <v>35</v>
      </c>
      <c r="B36" s="2">
        <v>5</v>
      </c>
      <c r="C36" s="4">
        <f>VLOOKUP(I36,Sheet1!B:F,3,FALSE)</f>
        <v>1</v>
      </c>
      <c r="D36" s="4">
        <f>VLOOKUP(I36,Sheet1!B:F,5,FALSE)</f>
        <v>1</v>
      </c>
      <c r="E36" s="2">
        <v>2</v>
      </c>
      <c r="F36" s="6">
        <f>IF(E36=1,J36,J36*1000)</f>
        <v>200</v>
      </c>
      <c r="G36" s="2">
        <v>75</v>
      </c>
      <c r="I36" s="2">
        <v>4097</v>
      </c>
      <c r="J36" s="6" t="s">
        <v>87</v>
      </c>
    </row>
    <row r="37" spans="1:10" x14ac:dyDescent="0.25">
      <c r="A37" s="2">
        <v>36</v>
      </c>
      <c r="B37" s="2">
        <v>1</v>
      </c>
      <c r="C37" s="4">
        <f>VLOOKUP(I37,Sheet1!B:F,3,FALSE)</f>
        <v>1</v>
      </c>
      <c r="D37" s="4">
        <f>VLOOKUP(I37,Sheet1!B:F,5,FALSE)</f>
        <v>14</v>
      </c>
      <c r="E37" s="2">
        <v>2</v>
      </c>
      <c r="F37" s="6">
        <f>IF(E37=1,J37,J37*1000)</f>
        <v>5</v>
      </c>
      <c r="G37" s="2">
        <v>81</v>
      </c>
      <c r="I37" s="2">
        <v>4108</v>
      </c>
      <c r="J37" s="6" t="s">
        <v>88</v>
      </c>
    </row>
    <row r="38" spans="1:10" x14ac:dyDescent="0.25">
      <c r="A38" s="2">
        <v>37</v>
      </c>
      <c r="B38" s="2">
        <v>2</v>
      </c>
      <c r="C38" s="4">
        <f>VLOOKUP(I38,Sheet1!B:F,3,FALSE)</f>
        <v>1</v>
      </c>
      <c r="D38" s="4">
        <f>VLOOKUP(I38,Sheet1!B:F,5,FALSE)</f>
        <v>14</v>
      </c>
      <c r="E38" s="2">
        <v>2</v>
      </c>
      <c r="F38" s="6">
        <f>IF(E38=1,J38,J38*1000)</f>
        <v>10</v>
      </c>
      <c r="G38" s="2">
        <v>82</v>
      </c>
      <c r="I38" s="2">
        <v>4108</v>
      </c>
      <c r="J38" s="6" t="s">
        <v>83</v>
      </c>
    </row>
    <row r="39" spans="1:10" x14ac:dyDescent="0.25">
      <c r="A39" s="2">
        <v>38</v>
      </c>
      <c r="B39" s="2">
        <v>3</v>
      </c>
      <c r="C39" s="4">
        <f>VLOOKUP(I39,Sheet1!B:F,3,FALSE)</f>
        <v>1</v>
      </c>
      <c r="D39" s="4">
        <f>VLOOKUP(I39,Sheet1!B:F,5,FALSE)</f>
        <v>14</v>
      </c>
      <c r="E39" s="2">
        <v>2</v>
      </c>
      <c r="F39" s="6">
        <f>IF(E39=1,J39,J39*1000)</f>
        <v>30</v>
      </c>
      <c r="G39" s="2">
        <v>83</v>
      </c>
      <c r="I39" s="2">
        <v>4108</v>
      </c>
      <c r="J39" s="6" t="s">
        <v>84</v>
      </c>
    </row>
    <row r="40" spans="1:10" x14ac:dyDescent="0.25">
      <c r="A40" s="2">
        <v>39</v>
      </c>
      <c r="B40" s="2">
        <v>4</v>
      </c>
      <c r="C40" s="4">
        <f>VLOOKUP(I40,Sheet1!B:F,3,FALSE)</f>
        <v>1</v>
      </c>
      <c r="D40" s="4">
        <f>VLOOKUP(I40,Sheet1!B:F,5,FALSE)</f>
        <v>14</v>
      </c>
      <c r="E40" s="2">
        <v>2</v>
      </c>
      <c r="F40" s="6">
        <f>IF(E40=1,J40,J40*1000)</f>
        <v>50</v>
      </c>
      <c r="G40" s="2">
        <v>84</v>
      </c>
      <c r="I40" s="2">
        <v>4108</v>
      </c>
      <c r="J40" s="6" t="s">
        <v>85</v>
      </c>
    </row>
    <row r="41" spans="1:10" x14ac:dyDescent="0.25">
      <c r="A41" s="2">
        <v>40</v>
      </c>
      <c r="B41" s="2">
        <v>5</v>
      </c>
      <c r="C41" s="4">
        <f>VLOOKUP(I41,Sheet1!B:F,3,FALSE)</f>
        <v>1</v>
      </c>
      <c r="D41" s="4">
        <f>VLOOKUP(I41,Sheet1!B:F,5,FALSE)</f>
        <v>14</v>
      </c>
      <c r="E41" s="2">
        <v>2</v>
      </c>
      <c r="F41" s="6">
        <f>IF(E41=1,J41,J41*1000)</f>
        <v>100</v>
      </c>
      <c r="G41" s="2">
        <v>85</v>
      </c>
      <c r="I41" s="2">
        <v>4108</v>
      </c>
      <c r="J41" s="6" t="s">
        <v>86</v>
      </c>
    </row>
    <row r="42" spans="1:10" x14ac:dyDescent="0.25">
      <c r="A42" s="2">
        <v>41</v>
      </c>
      <c r="B42" s="2">
        <v>1</v>
      </c>
      <c r="C42" s="4">
        <f>VLOOKUP(I42,Sheet1!B:F,3,FALSE)</f>
        <v>1</v>
      </c>
      <c r="D42" s="4">
        <f>VLOOKUP(I42,Sheet1!B:F,5,FALSE)</f>
        <v>2</v>
      </c>
      <c r="E42" s="2">
        <v>2</v>
      </c>
      <c r="F42" s="6">
        <f>IF(E42=1,J42,J42*1000)</f>
        <v>10</v>
      </c>
      <c r="G42" s="2">
        <v>91</v>
      </c>
      <c r="I42" s="2">
        <v>4098</v>
      </c>
      <c r="J42" s="6" t="s">
        <v>83</v>
      </c>
    </row>
    <row r="43" spans="1:10" x14ac:dyDescent="0.25">
      <c r="A43" s="2">
        <v>42</v>
      </c>
      <c r="B43" s="2">
        <v>2</v>
      </c>
      <c r="C43" s="4">
        <f>VLOOKUP(I43,Sheet1!B:F,3,FALSE)</f>
        <v>1</v>
      </c>
      <c r="D43" s="4">
        <f>VLOOKUP(I43,Sheet1!B:F,5,FALSE)</f>
        <v>2</v>
      </c>
      <c r="E43" s="2">
        <v>2</v>
      </c>
      <c r="F43" s="6">
        <f>IF(E43=1,J43,J43*1000)</f>
        <v>20</v>
      </c>
      <c r="G43" s="2">
        <v>92</v>
      </c>
      <c r="I43" s="2">
        <v>4098</v>
      </c>
      <c r="J43" s="6" t="s">
        <v>89</v>
      </c>
    </row>
    <row r="44" spans="1:10" x14ac:dyDescent="0.25">
      <c r="A44" s="2">
        <v>43</v>
      </c>
      <c r="B44" s="2">
        <v>3</v>
      </c>
      <c r="C44" s="4">
        <f>VLOOKUP(I44,Sheet1!B:F,3,FALSE)</f>
        <v>1</v>
      </c>
      <c r="D44" s="4">
        <f>VLOOKUP(I44,Sheet1!B:F,5,FALSE)</f>
        <v>2</v>
      </c>
      <c r="E44" s="2">
        <v>2</v>
      </c>
      <c r="F44" s="6">
        <f>IF(E44=1,J44,J44*1000)</f>
        <v>60</v>
      </c>
      <c r="G44" s="2">
        <v>93</v>
      </c>
      <c r="I44" s="2">
        <v>4098</v>
      </c>
      <c r="J44" s="6" t="s">
        <v>90</v>
      </c>
    </row>
    <row r="45" spans="1:10" x14ac:dyDescent="0.25">
      <c r="A45" s="2">
        <v>44</v>
      </c>
      <c r="B45" s="2">
        <v>4</v>
      </c>
      <c r="C45" s="4">
        <f>VLOOKUP(I45,Sheet1!B:F,3,FALSE)</f>
        <v>1</v>
      </c>
      <c r="D45" s="4">
        <f>VLOOKUP(I45,Sheet1!B:F,5,FALSE)</f>
        <v>2</v>
      </c>
      <c r="E45" s="2">
        <v>2</v>
      </c>
      <c r="F45" s="6">
        <f>IF(E45=1,J45,J45*1000)</f>
        <v>100</v>
      </c>
      <c r="G45" s="2">
        <v>94</v>
      </c>
      <c r="I45" s="2">
        <v>4098</v>
      </c>
      <c r="J45" s="6" t="s">
        <v>86</v>
      </c>
    </row>
    <row r="46" spans="1:10" x14ac:dyDescent="0.25">
      <c r="A46" s="2">
        <v>45</v>
      </c>
      <c r="B46" s="2">
        <v>5</v>
      </c>
      <c r="C46" s="4">
        <f>VLOOKUP(I46,Sheet1!B:F,3,FALSE)</f>
        <v>1</v>
      </c>
      <c r="D46" s="4">
        <f>VLOOKUP(I46,Sheet1!B:F,5,FALSE)</f>
        <v>2</v>
      </c>
      <c r="E46" s="2">
        <v>2</v>
      </c>
      <c r="F46" s="6">
        <f>IF(E46=1,J46,J46*1000)</f>
        <v>200</v>
      </c>
      <c r="G46" s="2">
        <v>95</v>
      </c>
      <c r="I46" s="2">
        <v>4098</v>
      </c>
      <c r="J46" s="6" t="s">
        <v>87</v>
      </c>
    </row>
    <row r="47" spans="1:10" x14ac:dyDescent="0.25">
      <c r="A47" s="2">
        <v>46</v>
      </c>
      <c r="B47" s="2">
        <v>1</v>
      </c>
      <c r="C47" s="4">
        <f>VLOOKUP(I47,Sheet1!B:F,3,FALSE)</f>
        <v>1</v>
      </c>
      <c r="D47" s="4">
        <f>VLOOKUP(I47,Sheet1!B:F,5,FALSE)</f>
        <v>3</v>
      </c>
      <c r="E47" s="2">
        <v>2</v>
      </c>
      <c r="F47" s="6">
        <f>IF(E47=1,J47,J47*1000)</f>
        <v>10</v>
      </c>
      <c r="G47" s="2">
        <v>101</v>
      </c>
      <c r="I47" s="2">
        <v>4099</v>
      </c>
      <c r="J47" s="6" t="s">
        <v>83</v>
      </c>
    </row>
    <row r="48" spans="1:10" x14ac:dyDescent="0.25">
      <c r="A48" s="2">
        <v>47</v>
      </c>
      <c r="B48" s="2">
        <v>2</v>
      </c>
      <c r="C48" s="4">
        <f>VLOOKUP(I48,Sheet1!B:F,3,FALSE)</f>
        <v>1</v>
      </c>
      <c r="D48" s="4">
        <f>VLOOKUP(I48,Sheet1!B:F,5,FALSE)</f>
        <v>3</v>
      </c>
      <c r="E48" s="2">
        <v>2</v>
      </c>
      <c r="F48" s="6">
        <f>IF(E48=1,J48,J48*1000)</f>
        <v>20</v>
      </c>
      <c r="G48" s="2">
        <v>102</v>
      </c>
      <c r="I48" s="2">
        <v>4099</v>
      </c>
      <c r="J48" s="6" t="s">
        <v>89</v>
      </c>
    </row>
    <row r="49" spans="1:10" x14ac:dyDescent="0.25">
      <c r="A49" s="2">
        <v>48</v>
      </c>
      <c r="B49" s="2">
        <v>3</v>
      </c>
      <c r="C49" s="4">
        <f>VLOOKUP(I49,Sheet1!B:F,3,FALSE)</f>
        <v>1</v>
      </c>
      <c r="D49" s="4">
        <f>VLOOKUP(I49,Sheet1!B:F,5,FALSE)</f>
        <v>3</v>
      </c>
      <c r="E49" s="2">
        <v>2</v>
      </c>
      <c r="F49" s="6">
        <f>IF(E49=1,J49,J49*1000)</f>
        <v>60</v>
      </c>
      <c r="G49" s="2">
        <v>103</v>
      </c>
      <c r="I49" s="2">
        <v>4099</v>
      </c>
      <c r="J49" s="6" t="s">
        <v>90</v>
      </c>
    </row>
    <row r="50" spans="1:10" x14ac:dyDescent="0.25">
      <c r="A50" s="2">
        <v>49</v>
      </c>
      <c r="B50" s="2">
        <v>4</v>
      </c>
      <c r="C50" s="4">
        <f>VLOOKUP(I50,Sheet1!B:F,3,FALSE)</f>
        <v>1</v>
      </c>
      <c r="D50" s="4">
        <f>VLOOKUP(I50,Sheet1!B:F,5,FALSE)</f>
        <v>3</v>
      </c>
      <c r="E50" s="2">
        <v>2</v>
      </c>
      <c r="F50" s="6">
        <f>IF(E50=1,J50,J50*1000)</f>
        <v>100</v>
      </c>
      <c r="G50" s="2">
        <v>104</v>
      </c>
      <c r="I50" s="2">
        <v>4099</v>
      </c>
      <c r="J50" s="6" t="s">
        <v>86</v>
      </c>
    </row>
    <row r="51" spans="1:10" x14ac:dyDescent="0.25">
      <c r="A51" s="2">
        <v>50</v>
      </c>
      <c r="B51" s="2">
        <v>5</v>
      </c>
      <c r="C51" s="4">
        <f>VLOOKUP(I51,Sheet1!B:F,3,FALSE)</f>
        <v>1</v>
      </c>
      <c r="D51" s="4">
        <f>VLOOKUP(I51,Sheet1!B:F,5,FALSE)</f>
        <v>3</v>
      </c>
      <c r="E51" s="2">
        <v>2</v>
      </c>
      <c r="F51" s="6">
        <f>IF(E51=1,J51,J51*1000)</f>
        <v>200</v>
      </c>
      <c r="G51" s="2">
        <v>105</v>
      </c>
      <c r="I51" s="2">
        <v>4099</v>
      </c>
      <c r="J51" s="6" t="s">
        <v>87</v>
      </c>
    </row>
    <row r="52" spans="1:10" x14ac:dyDescent="0.25">
      <c r="A52" s="2">
        <v>51</v>
      </c>
      <c r="B52" s="2">
        <v>1</v>
      </c>
      <c r="C52" s="4">
        <f>VLOOKUP(I52,Sheet1!B:F,3,FALSE)</f>
        <v>1</v>
      </c>
      <c r="D52" s="4">
        <f>VLOOKUP(I52,Sheet1!B:F,5,FALSE)</f>
        <v>15</v>
      </c>
      <c r="E52" s="2">
        <v>2</v>
      </c>
      <c r="F52" s="6">
        <f>IF(E52=1,J52,J52*1000)</f>
        <v>10</v>
      </c>
      <c r="G52" s="2">
        <v>111</v>
      </c>
      <c r="I52" s="2">
        <v>4109</v>
      </c>
      <c r="J52" s="6" t="s">
        <v>83</v>
      </c>
    </row>
    <row r="53" spans="1:10" x14ac:dyDescent="0.25">
      <c r="A53" s="2">
        <v>52</v>
      </c>
      <c r="B53" s="2">
        <v>2</v>
      </c>
      <c r="C53" s="4">
        <f>VLOOKUP(I53,Sheet1!B:F,3,FALSE)</f>
        <v>1</v>
      </c>
      <c r="D53" s="4">
        <f>VLOOKUP(I53,Sheet1!B:F,5,FALSE)</f>
        <v>15</v>
      </c>
      <c r="E53" s="2">
        <v>2</v>
      </c>
      <c r="F53" s="6">
        <f>IF(E53=1,J53,J53*1000)</f>
        <v>20</v>
      </c>
      <c r="G53" s="2">
        <v>112</v>
      </c>
      <c r="I53" s="2">
        <v>4109</v>
      </c>
      <c r="J53" s="6" t="s">
        <v>89</v>
      </c>
    </row>
    <row r="54" spans="1:10" x14ac:dyDescent="0.25">
      <c r="A54" s="2">
        <v>53</v>
      </c>
      <c r="B54" s="2">
        <v>3</v>
      </c>
      <c r="C54" s="4">
        <f>VLOOKUP(I54,Sheet1!B:F,3,FALSE)</f>
        <v>1</v>
      </c>
      <c r="D54" s="4">
        <f>VLOOKUP(I54,Sheet1!B:F,5,FALSE)</f>
        <v>15</v>
      </c>
      <c r="E54" s="2">
        <v>2</v>
      </c>
      <c r="F54" s="6">
        <f>IF(E54=1,J54,J54*1000)</f>
        <v>60</v>
      </c>
      <c r="G54" s="2">
        <v>113</v>
      </c>
      <c r="I54" s="2">
        <v>4109</v>
      </c>
      <c r="J54" s="6" t="s">
        <v>90</v>
      </c>
    </row>
    <row r="55" spans="1:10" x14ac:dyDescent="0.25">
      <c r="A55" s="2">
        <v>54</v>
      </c>
      <c r="B55" s="2">
        <v>4</v>
      </c>
      <c r="C55" s="4">
        <f>VLOOKUP(I55,Sheet1!B:F,3,FALSE)</f>
        <v>1</v>
      </c>
      <c r="D55" s="4">
        <f>VLOOKUP(I55,Sheet1!B:F,5,FALSE)</f>
        <v>15</v>
      </c>
      <c r="E55" s="2">
        <v>2</v>
      </c>
      <c r="F55" s="6">
        <f>IF(E55=1,J55,J55*1000)</f>
        <v>100</v>
      </c>
      <c r="G55" s="2">
        <v>114</v>
      </c>
      <c r="I55" s="2">
        <v>4109</v>
      </c>
      <c r="J55" s="6" t="s">
        <v>86</v>
      </c>
    </row>
    <row r="56" spans="1:10" x14ac:dyDescent="0.25">
      <c r="A56" s="2">
        <v>55</v>
      </c>
      <c r="B56" s="2">
        <v>5</v>
      </c>
      <c r="C56" s="4">
        <f>VLOOKUP(I56,Sheet1!B:F,3,FALSE)</f>
        <v>1</v>
      </c>
      <c r="D56" s="4">
        <f>VLOOKUP(I56,Sheet1!B:F,5,FALSE)</f>
        <v>15</v>
      </c>
      <c r="E56" s="2">
        <v>2</v>
      </c>
      <c r="F56" s="6">
        <f>IF(E56=1,J56,J56*1000)</f>
        <v>200</v>
      </c>
      <c r="G56" s="2">
        <v>115</v>
      </c>
      <c r="I56" s="2">
        <v>4109</v>
      </c>
      <c r="J56" s="6" t="s">
        <v>87</v>
      </c>
    </row>
    <row r="57" spans="1:10" x14ac:dyDescent="0.25">
      <c r="A57" s="2">
        <v>56</v>
      </c>
      <c r="B57" s="2">
        <v>1</v>
      </c>
      <c r="C57" s="4">
        <f>VLOOKUP(I57,Sheet1!B:F,3,FALSE)</f>
        <v>1</v>
      </c>
      <c r="D57" s="4">
        <f>VLOOKUP(I57,Sheet1!B:F,5,FALSE)</f>
        <v>4</v>
      </c>
      <c r="E57" s="2">
        <v>2</v>
      </c>
      <c r="F57" s="6">
        <f>IF(E57=1,J57,J57*1000)</f>
        <v>20</v>
      </c>
      <c r="G57" s="2">
        <v>121</v>
      </c>
      <c r="I57" s="2">
        <v>4100</v>
      </c>
      <c r="J57" s="6" t="s">
        <v>89</v>
      </c>
    </row>
    <row r="58" spans="1:10" x14ac:dyDescent="0.25">
      <c r="A58" s="2">
        <v>57</v>
      </c>
      <c r="B58" s="2">
        <v>2</v>
      </c>
      <c r="C58" s="4">
        <f>VLOOKUP(I58,Sheet1!B:F,3,FALSE)</f>
        <v>1</v>
      </c>
      <c r="D58" s="4">
        <f>VLOOKUP(I58,Sheet1!B:F,5,FALSE)</f>
        <v>4</v>
      </c>
      <c r="E58" s="2">
        <v>2</v>
      </c>
      <c r="F58" s="6">
        <f>IF(E58=1,J58,J58*1000)</f>
        <v>40</v>
      </c>
      <c r="G58" s="2">
        <v>122</v>
      </c>
      <c r="I58" s="2">
        <v>4100</v>
      </c>
      <c r="J58" s="6" t="s">
        <v>91</v>
      </c>
    </row>
    <row r="59" spans="1:10" x14ac:dyDescent="0.25">
      <c r="A59" s="2">
        <v>58</v>
      </c>
      <c r="B59" s="2">
        <v>3</v>
      </c>
      <c r="C59" s="4">
        <f>VLOOKUP(I59,Sheet1!B:F,3,FALSE)</f>
        <v>1</v>
      </c>
      <c r="D59" s="4">
        <f>VLOOKUP(I59,Sheet1!B:F,5,FALSE)</f>
        <v>4</v>
      </c>
      <c r="E59" s="2">
        <v>2</v>
      </c>
      <c r="F59" s="6">
        <f>IF(E59=1,J59,J59*1000)</f>
        <v>120</v>
      </c>
      <c r="G59" s="2">
        <v>123</v>
      </c>
      <c r="I59" s="2">
        <v>4100</v>
      </c>
      <c r="J59" s="6" t="s">
        <v>92</v>
      </c>
    </row>
    <row r="60" spans="1:10" x14ac:dyDescent="0.25">
      <c r="A60" s="2">
        <v>59</v>
      </c>
      <c r="B60" s="2">
        <v>4</v>
      </c>
      <c r="C60" s="4">
        <f>VLOOKUP(I60,Sheet1!B:F,3,FALSE)</f>
        <v>1</v>
      </c>
      <c r="D60" s="4">
        <f>VLOOKUP(I60,Sheet1!B:F,5,FALSE)</f>
        <v>4</v>
      </c>
      <c r="E60" s="2">
        <v>2</v>
      </c>
      <c r="F60" s="6">
        <f>IF(E60=1,J60,J60*1000)</f>
        <v>200</v>
      </c>
      <c r="G60" s="2">
        <v>124</v>
      </c>
      <c r="I60" s="2">
        <v>4100</v>
      </c>
      <c r="J60" s="6" t="s">
        <v>87</v>
      </c>
    </row>
    <row r="61" spans="1:10" x14ac:dyDescent="0.25">
      <c r="A61" s="2">
        <v>60</v>
      </c>
      <c r="B61" s="2">
        <v>5</v>
      </c>
      <c r="C61" s="4">
        <f>VLOOKUP(I61,Sheet1!B:F,3,FALSE)</f>
        <v>1</v>
      </c>
      <c r="D61" s="4">
        <f>VLOOKUP(I61,Sheet1!B:F,5,FALSE)</f>
        <v>4</v>
      </c>
      <c r="E61" s="2">
        <v>2</v>
      </c>
      <c r="F61" s="6">
        <f>IF(E61=1,J61,J61*1000)</f>
        <v>400</v>
      </c>
      <c r="G61" s="2">
        <v>125</v>
      </c>
      <c r="I61" s="2">
        <v>4100</v>
      </c>
      <c r="J61" s="6" t="s">
        <v>93</v>
      </c>
    </row>
    <row r="62" spans="1:10" x14ac:dyDescent="0.25">
      <c r="A62" s="2">
        <v>61</v>
      </c>
      <c r="B62" s="2">
        <v>1</v>
      </c>
      <c r="C62" s="4">
        <f>VLOOKUP(I62,Sheet1!B:F,3,FALSE)</f>
        <v>1</v>
      </c>
      <c r="D62" s="4">
        <f>VLOOKUP(I62,Sheet1!B:F,5,FALSE)</f>
        <v>5</v>
      </c>
      <c r="E62" s="2">
        <v>2</v>
      </c>
      <c r="F62" s="6">
        <f>IF(E62=1,J62,J62*1000)</f>
        <v>20</v>
      </c>
      <c r="G62" s="2">
        <v>131</v>
      </c>
      <c r="I62" s="2">
        <v>4101</v>
      </c>
      <c r="J62" s="6" t="s">
        <v>89</v>
      </c>
    </row>
    <row r="63" spans="1:10" x14ac:dyDescent="0.25">
      <c r="A63" s="2">
        <v>62</v>
      </c>
      <c r="B63" s="2">
        <v>2</v>
      </c>
      <c r="C63" s="4">
        <f>VLOOKUP(I63,Sheet1!B:F,3,FALSE)</f>
        <v>1</v>
      </c>
      <c r="D63" s="4">
        <f>VLOOKUP(I63,Sheet1!B:F,5,FALSE)</f>
        <v>5</v>
      </c>
      <c r="E63" s="2">
        <v>2</v>
      </c>
      <c r="F63" s="6">
        <f>IF(E63=1,J63,J63*1000)</f>
        <v>40</v>
      </c>
      <c r="G63" s="2">
        <v>132</v>
      </c>
      <c r="I63" s="2">
        <v>4101</v>
      </c>
      <c r="J63" s="6" t="s">
        <v>91</v>
      </c>
    </row>
    <row r="64" spans="1:10" x14ac:dyDescent="0.25">
      <c r="A64" s="2">
        <v>63</v>
      </c>
      <c r="B64" s="2">
        <v>3</v>
      </c>
      <c r="C64" s="4">
        <f>VLOOKUP(I64,Sheet1!B:F,3,FALSE)</f>
        <v>1</v>
      </c>
      <c r="D64" s="4">
        <f>VLOOKUP(I64,Sheet1!B:F,5,FALSE)</f>
        <v>5</v>
      </c>
      <c r="E64" s="2">
        <v>2</v>
      </c>
      <c r="F64" s="6">
        <f>IF(E64=1,J64,J64*1000)</f>
        <v>120</v>
      </c>
      <c r="G64" s="2">
        <v>133</v>
      </c>
      <c r="I64" s="2">
        <v>4101</v>
      </c>
      <c r="J64" s="6" t="s">
        <v>92</v>
      </c>
    </row>
    <row r="65" spans="1:10" x14ac:dyDescent="0.25">
      <c r="A65" s="2">
        <v>64</v>
      </c>
      <c r="B65" s="2">
        <v>4</v>
      </c>
      <c r="C65" s="4">
        <f>VLOOKUP(I65,Sheet1!B:F,3,FALSE)</f>
        <v>1</v>
      </c>
      <c r="D65" s="4">
        <f>VLOOKUP(I65,Sheet1!B:F,5,FALSE)</f>
        <v>5</v>
      </c>
      <c r="E65" s="2">
        <v>2</v>
      </c>
      <c r="F65" s="6">
        <f>IF(E65=1,J65,J65*1000)</f>
        <v>200</v>
      </c>
      <c r="G65" s="2">
        <v>134</v>
      </c>
      <c r="I65" s="2">
        <v>4101</v>
      </c>
      <c r="J65" s="6" t="s">
        <v>87</v>
      </c>
    </row>
    <row r="66" spans="1:10" x14ac:dyDescent="0.25">
      <c r="A66" s="2">
        <v>65</v>
      </c>
      <c r="B66" s="2">
        <v>5</v>
      </c>
      <c r="C66" s="4">
        <f>VLOOKUP(I66,Sheet1!B:F,3,FALSE)</f>
        <v>1</v>
      </c>
      <c r="D66" s="4">
        <f>VLOOKUP(I66,Sheet1!B:F,5,FALSE)</f>
        <v>5</v>
      </c>
      <c r="E66" s="2">
        <v>2</v>
      </c>
      <c r="F66" s="6">
        <f>IF(E66=1,J66,J66*1000)</f>
        <v>400</v>
      </c>
      <c r="G66" s="2">
        <v>135</v>
      </c>
      <c r="I66" s="2">
        <v>4101</v>
      </c>
      <c r="J66" s="6" t="s">
        <v>93</v>
      </c>
    </row>
    <row r="67" spans="1:10" x14ac:dyDescent="0.25">
      <c r="A67" s="2">
        <v>66</v>
      </c>
      <c r="B67" s="2">
        <v>1</v>
      </c>
      <c r="C67" s="4">
        <f>VLOOKUP(I67,Sheet1!B:F,3,FALSE)</f>
        <v>1</v>
      </c>
      <c r="D67" s="4">
        <f>VLOOKUP(I67,Sheet1!B:F,5,FALSE)</f>
        <v>6</v>
      </c>
      <c r="E67" s="2">
        <v>2</v>
      </c>
      <c r="F67" s="6">
        <f>IF(E67=1,J67,J67*1000)</f>
        <v>50</v>
      </c>
      <c r="G67" s="2">
        <v>141</v>
      </c>
      <c r="I67" s="2">
        <v>4102</v>
      </c>
      <c r="J67" s="6" t="s">
        <v>85</v>
      </c>
    </row>
    <row r="68" spans="1:10" x14ac:dyDescent="0.25">
      <c r="A68" s="2">
        <v>67</v>
      </c>
      <c r="B68" s="2">
        <v>2</v>
      </c>
      <c r="C68" s="4">
        <f>VLOOKUP(I68,Sheet1!B:F,3,FALSE)</f>
        <v>1</v>
      </c>
      <c r="D68" s="4">
        <f>VLOOKUP(I68,Sheet1!B:F,5,FALSE)</f>
        <v>6</v>
      </c>
      <c r="E68" s="2">
        <v>2</v>
      </c>
      <c r="F68" s="6">
        <f>IF(E68=1,J68,J68*1000)</f>
        <v>60</v>
      </c>
      <c r="G68" s="2">
        <v>142</v>
      </c>
      <c r="I68" s="2">
        <v>4102</v>
      </c>
      <c r="J68" s="6" t="s">
        <v>90</v>
      </c>
    </row>
    <row r="69" spans="1:10" x14ac:dyDescent="0.25">
      <c r="A69" s="2">
        <v>68</v>
      </c>
      <c r="B69" s="2">
        <v>3</v>
      </c>
      <c r="C69" s="4">
        <f>VLOOKUP(I69,Sheet1!B:F,3,FALSE)</f>
        <v>1</v>
      </c>
      <c r="D69" s="4">
        <f>VLOOKUP(I69,Sheet1!B:F,5,FALSE)</f>
        <v>6</v>
      </c>
      <c r="E69" s="2">
        <v>2</v>
      </c>
      <c r="F69" s="6">
        <f>IF(E69=1,J69,J69*1000)</f>
        <v>70</v>
      </c>
      <c r="G69" s="2">
        <v>143</v>
      </c>
      <c r="I69" s="2">
        <v>4102</v>
      </c>
      <c r="J69" s="6" t="s">
        <v>94</v>
      </c>
    </row>
    <row r="70" spans="1:10" x14ac:dyDescent="0.25">
      <c r="A70" s="2">
        <v>69</v>
      </c>
      <c r="B70" s="2">
        <v>4</v>
      </c>
      <c r="C70" s="4">
        <f>VLOOKUP(I70,Sheet1!B:F,3,FALSE)</f>
        <v>1</v>
      </c>
      <c r="D70" s="4">
        <f>VLOOKUP(I70,Sheet1!B:F,5,FALSE)</f>
        <v>6</v>
      </c>
      <c r="E70" s="2">
        <v>2</v>
      </c>
      <c r="F70" s="6">
        <f>IF(E70=1,J70,J70*1000)</f>
        <v>80</v>
      </c>
      <c r="G70" s="2">
        <v>144</v>
      </c>
      <c r="I70" s="2">
        <v>4102</v>
      </c>
      <c r="J70" s="6" t="s">
        <v>95</v>
      </c>
    </row>
    <row r="71" spans="1:10" x14ac:dyDescent="0.25">
      <c r="A71" s="2">
        <v>70</v>
      </c>
      <c r="B71" s="2">
        <v>5</v>
      </c>
      <c r="C71" s="4">
        <f>VLOOKUP(I71,Sheet1!B:F,3,FALSE)</f>
        <v>1</v>
      </c>
      <c r="D71" s="4">
        <f>VLOOKUP(I71,Sheet1!B:F,5,FALSE)</f>
        <v>6</v>
      </c>
      <c r="E71" s="2">
        <v>2</v>
      </c>
      <c r="F71" s="6">
        <f>IF(E71=1,J71,J71*1000)</f>
        <v>90</v>
      </c>
      <c r="G71" s="2">
        <v>145</v>
      </c>
      <c r="I71" s="2">
        <v>4102</v>
      </c>
      <c r="J71" s="6" t="s">
        <v>96</v>
      </c>
    </row>
    <row r="72" spans="1:10" x14ac:dyDescent="0.25">
      <c r="A72" s="2">
        <v>71</v>
      </c>
      <c r="B72" s="2">
        <v>1</v>
      </c>
      <c r="C72" s="4">
        <f>VLOOKUP(I72,Sheet1!B:F,3,FALSE)</f>
        <v>1</v>
      </c>
      <c r="D72" s="4">
        <f>VLOOKUP(I72,Sheet1!B:F,5,FALSE)</f>
        <v>7</v>
      </c>
      <c r="E72" s="2">
        <v>1</v>
      </c>
      <c r="F72" s="6" t="str">
        <f>IF(E72=1,J72,J72*1000)</f>
        <v>20</v>
      </c>
      <c r="G72" s="2">
        <v>151</v>
      </c>
      <c r="I72" s="2">
        <v>4103</v>
      </c>
      <c r="J72" s="6" t="s">
        <v>97</v>
      </c>
    </row>
    <row r="73" spans="1:10" x14ac:dyDescent="0.25">
      <c r="A73" s="2">
        <v>72</v>
      </c>
      <c r="B73" s="2">
        <v>2</v>
      </c>
      <c r="C73" s="4">
        <f>VLOOKUP(I73,Sheet1!B:F,3,FALSE)</f>
        <v>1</v>
      </c>
      <c r="D73" s="4">
        <f>VLOOKUP(I73,Sheet1!B:F,5,FALSE)</f>
        <v>7</v>
      </c>
      <c r="E73" s="2">
        <v>1</v>
      </c>
      <c r="F73" s="6" t="str">
        <f>IF(E73=1,J73,J73*1000)</f>
        <v>50</v>
      </c>
      <c r="G73" s="2">
        <v>152</v>
      </c>
      <c r="I73" s="2">
        <v>4103</v>
      </c>
      <c r="J73" s="6" t="s">
        <v>67</v>
      </c>
    </row>
    <row r="74" spans="1:10" x14ac:dyDescent="0.25">
      <c r="A74" s="2">
        <v>73</v>
      </c>
      <c r="B74" s="2">
        <v>3</v>
      </c>
      <c r="C74" s="4">
        <f>VLOOKUP(I74,Sheet1!B:F,3,FALSE)</f>
        <v>1</v>
      </c>
      <c r="D74" s="4">
        <f>VLOOKUP(I74,Sheet1!B:F,5,FALSE)</f>
        <v>7</v>
      </c>
      <c r="E74" s="2">
        <v>1</v>
      </c>
      <c r="F74" s="6" t="str">
        <f>IF(E74=1,J74,J74*1000)</f>
        <v>100</v>
      </c>
      <c r="G74" s="2">
        <v>153</v>
      </c>
      <c r="I74" s="2">
        <v>4103</v>
      </c>
      <c r="J74" s="6" t="s">
        <v>68</v>
      </c>
    </row>
    <row r="75" spans="1:10" x14ac:dyDescent="0.25">
      <c r="A75" s="2">
        <v>74</v>
      </c>
      <c r="B75" s="2">
        <v>4</v>
      </c>
      <c r="C75" s="4">
        <f>VLOOKUP(I75,Sheet1!B:F,3,FALSE)</f>
        <v>1</v>
      </c>
      <c r="D75" s="4">
        <f>VLOOKUP(I75,Sheet1!B:F,5,FALSE)</f>
        <v>7</v>
      </c>
      <c r="E75" s="2">
        <v>1</v>
      </c>
      <c r="F75" s="6" t="str">
        <f>IF(E75=1,J75,J75*1000)</f>
        <v>150</v>
      </c>
      <c r="G75" s="2">
        <v>154</v>
      </c>
      <c r="I75" s="2">
        <v>4103</v>
      </c>
      <c r="J75" s="6" t="s">
        <v>73</v>
      </c>
    </row>
    <row r="76" spans="1:10" x14ac:dyDescent="0.25">
      <c r="A76" s="2">
        <v>75</v>
      </c>
      <c r="B76" s="2">
        <v>5</v>
      </c>
      <c r="C76" s="4">
        <f>VLOOKUP(I76,Sheet1!B:F,3,FALSE)</f>
        <v>1</v>
      </c>
      <c r="D76" s="4">
        <f>VLOOKUP(I76,Sheet1!B:F,5,FALSE)</f>
        <v>7</v>
      </c>
      <c r="E76" s="2">
        <v>1</v>
      </c>
      <c r="F76" s="6" t="str">
        <f>IF(E76=1,J76,J76*1000)</f>
        <v>250</v>
      </c>
      <c r="G76" s="2">
        <v>155</v>
      </c>
      <c r="I76" s="2">
        <v>4103</v>
      </c>
      <c r="J76" s="6" t="s">
        <v>82</v>
      </c>
    </row>
    <row r="77" spans="1:10" x14ac:dyDescent="0.25">
      <c r="A77" s="2">
        <v>76</v>
      </c>
      <c r="B77" s="2">
        <v>1</v>
      </c>
      <c r="C77" s="4">
        <f>VLOOKUP(I77,Sheet1!B:F,3,FALSE)</f>
        <v>1</v>
      </c>
      <c r="D77" s="4">
        <f>VLOOKUP(I77,Sheet1!B:F,5,FALSE)</f>
        <v>10</v>
      </c>
      <c r="E77" s="2">
        <v>1</v>
      </c>
      <c r="F77" s="6" t="str">
        <f>IF(E77=1,J77,J77*1000)</f>
        <v>25</v>
      </c>
      <c r="G77" s="2">
        <v>161</v>
      </c>
      <c r="I77" s="2">
        <v>4106</v>
      </c>
      <c r="J77" s="6" t="s">
        <v>81</v>
      </c>
    </row>
    <row r="78" spans="1:10" x14ac:dyDescent="0.25">
      <c r="A78" s="2">
        <v>77</v>
      </c>
      <c r="B78" s="2">
        <v>2</v>
      </c>
      <c r="C78" s="4">
        <f>VLOOKUP(I78,Sheet1!B:F,3,FALSE)</f>
        <v>1</v>
      </c>
      <c r="D78" s="4">
        <f>VLOOKUP(I78,Sheet1!B:F,5,FALSE)</f>
        <v>10</v>
      </c>
      <c r="E78" s="2">
        <v>1</v>
      </c>
      <c r="F78" s="6" t="str">
        <f>IF(E78=1,J78,J78*1000)</f>
        <v>50</v>
      </c>
      <c r="G78" s="2">
        <v>162</v>
      </c>
      <c r="I78" s="2">
        <v>4106</v>
      </c>
      <c r="J78" s="6" t="s">
        <v>67</v>
      </c>
    </row>
    <row r="79" spans="1:10" x14ac:dyDescent="0.25">
      <c r="A79" s="2">
        <v>78</v>
      </c>
      <c r="B79" s="2">
        <v>3</v>
      </c>
      <c r="C79" s="4">
        <f>VLOOKUP(I79,Sheet1!B:F,3,FALSE)</f>
        <v>1</v>
      </c>
      <c r="D79" s="4">
        <f>VLOOKUP(I79,Sheet1!B:F,5,FALSE)</f>
        <v>10</v>
      </c>
      <c r="E79" s="2">
        <v>1</v>
      </c>
      <c r="F79" s="6" t="str">
        <f>IF(E79=1,J79,J79*1000)</f>
        <v>100</v>
      </c>
      <c r="G79" s="2">
        <v>163</v>
      </c>
      <c r="I79" s="2">
        <v>4106</v>
      </c>
      <c r="J79" s="6" t="s">
        <v>68</v>
      </c>
    </row>
    <row r="80" spans="1:10" x14ac:dyDescent="0.25">
      <c r="A80" s="2">
        <v>79</v>
      </c>
      <c r="B80" s="2">
        <v>4</v>
      </c>
      <c r="C80" s="4">
        <f>VLOOKUP(I80,Sheet1!B:F,3,FALSE)</f>
        <v>1</v>
      </c>
      <c r="D80" s="4">
        <f>VLOOKUP(I80,Sheet1!B:F,5,FALSE)</f>
        <v>10</v>
      </c>
      <c r="E80" s="2">
        <v>1</v>
      </c>
      <c r="F80" s="6" t="str">
        <f>IF(E80=1,J80,J80*1000)</f>
        <v>150</v>
      </c>
      <c r="G80" s="2">
        <v>164</v>
      </c>
      <c r="I80" s="2">
        <v>4106</v>
      </c>
      <c r="J80" s="6" t="s">
        <v>73</v>
      </c>
    </row>
    <row r="81" spans="1:10" x14ac:dyDescent="0.25">
      <c r="A81" s="2">
        <v>80</v>
      </c>
      <c r="B81" s="2">
        <v>5</v>
      </c>
      <c r="C81" s="4">
        <f>VLOOKUP(I81,Sheet1!B:F,3,FALSE)</f>
        <v>1</v>
      </c>
      <c r="D81" s="4">
        <f>VLOOKUP(I81,Sheet1!B:F,5,FALSE)</f>
        <v>10</v>
      </c>
      <c r="E81" s="2">
        <v>1</v>
      </c>
      <c r="F81" s="6" t="str">
        <f>IF(E81=1,J81,J81*1000)</f>
        <v>250</v>
      </c>
      <c r="G81" s="2">
        <v>165</v>
      </c>
      <c r="I81" s="2">
        <v>4106</v>
      </c>
      <c r="J81" s="6" t="s">
        <v>82</v>
      </c>
    </row>
    <row r="82" spans="1:10" x14ac:dyDescent="0.25">
      <c r="A82" s="2">
        <v>81</v>
      </c>
      <c r="B82" s="2">
        <v>1</v>
      </c>
      <c r="C82" s="4">
        <f>VLOOKUP(I82,Sheet1!B:F,3,FALSE)</f>
        <v>1</v>
      </c>
      <c r="D82" s="4">
        <f>VLOOKUP(I82,Sheet1!B:F,5,FALSE)</f>
        <v>16</v>
      </c>
      <c r="E82" s="2">
        <v>2</v>
      </c>
      <c r="F82" s="6">
        <f>IF(E82=1,J82,J82*1000)</f>
        <v>30</v>
      </c>
      <c r="G82" s="2">
        <v>171</v>
      </c>
      <c r="I82" s="2">
        <v>4107</v>
      </c>
      <c r="J82" s="6" t="s">
        <v>84</v>
      </c>
    </row>
    <row r="83" spans="1:10" x14ac:dyDescent="0.25">
      <c r="A83" s="2">
        <v>82</v>
      </c>
      <c r="B83" s="2">
        <v>2</v>
      </c>
      <c r="C83" s="4">
        <f>VLOOKUP(I83,Sheet1!B:F,3,FALSE)</f>
        <v>1</v>
      </c>
      <c r="D83" s="4">
        <f>VLOOKUP(I83,Sheet1!B:F,5,FALSE)</f>
        <v>16</v>
      </c>
      <c r="E83" s="2">
        <v>2</v>
      </c>
      <c r="F83" s="6">
        <f>IF(E83=1,J83,J83*1000)</f>
        <v>35</v>
      </c>
      <c r="G83" s="2">
        <v>172</v>
      </c>
      <c r="I83" s="2">
        <v>4107</v>
      </c>
      <c r="J83" s="6" t="s">
        <v>98</v>
      </c>
    </row>
    <row r="84" spans="1:10" x14ac:dyDescent="0.25">
      <c r="A84" s="2">
        <v>83</v>
      </c>
      <c r="B84" s="2">
        <v>3</v>
      </c>
      <c r="C84" s="4">
        <f>VLOOKUP(I84,Sheet1!B:F,3,FALSE)</f>
        <v>1</v>
      </c>
      <c r="D84" s="4">
        <f>VLOOKUP(I84,Sheet1!B:F,5,FALSE)</f>
        <v>16</v>
      </c>
      <c r="E84" s="2">
        <v>2</v>
      </c>
      <c r="F84" s="6">
        <f>IF(E84=1,J84,J84*1000)</f>
        <v>40</v>
      </c>
      <c r="G84" s="2">
        <v>173</v>
      </c>
      <c r="I84" s="2">
        <v>4107</v>
      </c>
      <c r="J84" s="6" t="s">
        <v>91</v>
      </c>
    </row>
    <row r="85" spans="1:10" x14ac:dyDescent="0.25">
      <c r="A85" s="2">
        <v>84</v>
      </c>
      <c r="B85" s="2">
        <v>4</v>
      </c>
      <c r="C85" s="4">
        <f>VLOOKUP(I85,Sheet1!B:F,3,FALSE)</f>
        <v>1</v>
      </c>
      <c r="D85" s="4">
        <f>VLOOKUP(I85,Sheet1!B:F,5,FALSE)</f>
        <v>16</v>
      </c>
      <c r="E85" s="2">
        <v>2</v>
      </c>
      <c r="F85" s="6">
        <f>IF(E85=1,J85,J85*1000)</f>
        <v>45</v>
      </c>
      <c r="G85" s="2">
        <v>174</v>
      </c>
      <c r="I85" s="2">
        <v>4107</v>
      </c>
      <c r="J85" s="6" t="s">
        <v>99</v>
      </c>
    </row>
    <row r="86" spans="1:10" x14ac:dyDescent="0.25">
      <c r="A86" s="2">
        <v>85</v>
      </c>
      <c r="B86" s="2">
        <v>5</v>
      </c>
      <c r="C86" s="4">
        <f>VLOOKUP(I86,Sheet1!B:F,3,FALSE)</f>
        <v>1</v>
      </c>
      <c r="D86" s="4">
        <f>VLOOKUP(I86,Sheet1!B:F,5,FALSE)</f>
        <v>16</v>
      </c>
      <c r="E86" s="2">
        <v>2</v>
      </c>
      <c r="F86" s="6">
        <f>IF(E86=1,J86,J86*1000)</f>
        <v>50</v>
      </c>
      <c r="G86" s="2">
        <v>175</v>
      </c>
      <c r="I86" s="2">
        <v>4107</v>
      </c>
      <c r="J86" s="6" t="s">
        <v>85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7545-3DBA-4B7B-9D6E-0A8559E842B2}">
  <dimension ref="A1:I40"/>
  <sheetViews>
    <sheetView tabSelected="1" topLeftCell="A10" workbookViewId="0">
      <selection activeCell="A2" sqref="A2:F40"/>
    </sheetView>
  </sheetViews>
  <sheetFormatPr defaultRowHeight="15.75" x14ac:dyDescent="0.25"/>
  <sheetData>
    <row r="1" spans="1:9" x14ac:dyDescent="0.25">
      <c r="A1" s="1" t="s">
        <v>60</v>
      </c>
      <c r="B1" s="1" t="s">
        <v>61</v>
      </c>
      <c r="C1" s="1"/>
      <c r="D1" s="1" t="s">
        <v>63</v>
      </c>
      <c r="E1" s="1" t="s">
        <v>64</v>
      </c>
      <c r="F1" s="1" t="s">
        <v>65</v>
      </c>
      <c r="H1" s="1" t="s">
        <v>62</v>
      </c>
      <c r="I1" s="1" t="s">
        <v>64</v>
      </c>
    </row>
    <row r="2" spans="1:9" x14ac:dyDescent="0.25">
      <c r="A2" s="2">
        <v>1</v>
      </c>
      <c r="B2" s="2">
        <v>1</v>
      </c>
      <c r="C2" s="2">
        <f>VLOOKUP(H2,Sheet1!B:F,5,FALSE)</f>
        <v>1</v>
      </c>
      <c r="D2" s="2">
        <v>1</v>
      </c>
      <c r="E2" s="6" t="str">
        <f>IF(D2=1,I2,I2*1000)</f>
        <v>700</v>
      </c>
      <c r="F2" s="2">
        <v>11</v>
      </c>
      <c r="H2" s="2">
        <v>4097</v>
      </c>
      <c r="I2" s="7" t="s">
        <v>100</v>
      </c>
    </row>
    <row r="3" spans="1:9" x14ac:dyDescent="0.25">
      <c r="A3" s="2">
        <v>2</v>
      </c>
      <c r="B3" s="2">
        <v>2</v>
      </c>
      <c r="C3" s="2">
        <f>VLOOKUP(H3,Sheet1!B:F,5,FALSE)</f>
        <v>1</v>
      </c>
      <c r="D3" s="2">
        <v>1</v>
      </c>
      <c r="E3" s="6" t="str">
        <f t="shared" ref="E3:E40" si="0">IF(D3=1,I3,I3*1000)</f>
        <v>1500</v>
      </c>
      <c r="F3" s="2">
        <v>12</v>
      </c>
      <c r="H3" s="2">
        <v>4097</v>
      </c>
      <c r="I3" s="7" t="s">
        <v>101</v>
      </c>
    </row>
    <row r="4" spans="1:9" x14ac:dyDescent="0.25">
      <c r="A4" s="2">
        <v>3</v>
      </c>
      <c r="B4" s="2">
        <v>3</v>
      </c>
      <c r="C4" s="2">
        <f>VLOOKUP(H4,Sheet1!B:F,5,FALSE)</f>
        <v>1</v>
      </c>
      <c r="D4" s="2">
        <v>1</v>
      </c>
      <c r="E4" s="6" t="str">
        <f t="shared" si="0"/>
        <v>3000</v>
      </c>
      <c r="F4" s="2">
        <v>13</v>
      </c>
      <c r="H4" s="2">
        <v>4097</v>
      </c>
      <c r="I4" s="7" t="s">
        <v>102</v>
      </c>
    </row>
    <row r="5" spans="1:9" x14ac:dyDescent="0.25">
      <c r="A5" s="2">
        <v>4</v>
      </c>
      <c r="B5" s="2">
        <v>4</v>
      </c>
      <c r="C5" s="2">
        <f>VLOOKUP(H5,Sheet1!B:F,5,FALSE)</f>
        <v>1</v>
      </c>
      <c r="D5" s="2">
        <v>1</v>
      </c>
      <c r="E5" s="6" t="str">
        <f t="shared" si="0"/>
        <v>4500</v>
      </c>
      <c r="F5" s="2">
        <v>14</v>
      </c>
      <c r="H5" s="2">
        <v>4097</v>
      </c>
      <c r="I5" s="7" t="s">
        <v>103</v>
      </c>
    </row>
    <row r="6" spans="1:9" x14ac:dyDescent="0.25">
      <c r="A6" s="2">
        <v>5</v>
      </c>
      <c r="B6" s="2">
        <v>1</v>
      </c>
      <c r="C6" s="2">
        <f>VLOOKUP(H6,Sheet1!B:F,5,FALSE)</f>
        <v>2</v>
      </c>
      <c r="D6" s="2">
        <v>1</v>
      </c>
      <c r="E6" s="6" t="str">
        <f t="shared" si="0"/>
        <v>30</v>
      </c>
      <c r="F6" s="2">
        <v>21</v>
      </c>
      <c r="H6" s="2">
        <v>4098</v>
      </c>
      <c r="I6" s="7" t="s">
        <v>76</v>
      </c>
    </row>
    <row r="7" spans="1:9" x14ac:dyDescent="0.25">
      <c r="A7" s="2">
        <v>6</v>
      </c>
      <c r="B7" s="2">
        <v>2</v>
      </c>
      <c r="C7" s="2">
        <f>VLOOKUP(H7,Sheet1!B:F,5,FALSE)</f>
        <v>2</v>
      </c>
      <c r="D7" s="2">
        <v>1</v>
      </c>
      <c r="E7" s="6" t="str">
        <f t="shared" si="0"/>
        <v>60</v>
      </c>
      <c r="F7" s="2">
        <v>22</v>
      </c>
      <c r="H7" s="2">
        <v>4098</v>
      </c>
      <c r="I7" s="7" t="s">
        <v>77</v>
      </c>
    </row>
    <row r="8" spans="1:9" x14ac:dyDescent="0.25">
      <c r="A8" s="2">
        <v>7</v>
      </c>
      <c r="B8" s="2">
        <v>3</v>
      </c>
      <c r="C8" s="2">
        <f>VLOOKUP(H8,Sheet1!B:F,5,FALSE)</f>
        <v>2</v>
      </c>
      <c r="D8" s="2">
        <v>1</v>
      </c>
      <c r="E8" s="6" t="str">
        <f t="shared" si="0"/>
        <v>150</v>
      </c>
      <c r="F8" s="2">
        <v>23</v>
      </c>
      <c r="H8" s="2">
        <v>4098</v>
      </c>
      <c r="I8" s="7" t="s">
        <v>73</v>
      </c>
    </row>
    <row r="9" spans="1:9" x14ac:dyDescent="0.25">
      <c r="A9" s="2">
        <v>8</v>
      </c>
      <c r="B9" s="2">
        <v>4</v>
      </c>
      <c r="C9" s="2">
        <f>VLOOKUP(H9,Sheet1!B:F,5,FALSE)</f>
        <v>2</v>
      </c>
      <c r="D9" s="2">
        <v>1</v>
      </c>
      <c r="E9" s="6" t="str">
        <f t="shared" si="0"/>
        <v>240</v>
      </c>
      <c r="F9" s="2">
        <v>24</v>
      </c>
      <c r="H9" s="2">
        <v>4098</v>
      </c>
      <c r="I9" s="7" t="s">
        <v>79</v>
      </c>
    </row>
    <row r="10" spans="1:9" x14ac:dyDescent="0.25">
      <c r="A10" s="2">
        <v>9</v>
      </c>
      <c r="B10" s="2">
        <v>1</v>
      </c>
      <c r="C10" s="2">
        <f>VLOOKUP(H10,Sheet1!B:F,5,FALSE)</f>
        <v>3</v>
      </c>
      <c r="D10" s="2">
        <v>1</v>
      </c>
      <c r="E10" s="6" t="str">
        <f t="shared" si="0"/>
        <v>30</v>
      </c>
      <c r="F10" s="2">
        <v>31</v>
      </c>
      <c r="H10" s="2">
        <v>4099</v>
      </c>
      <c r="I10" s="7" t="s">
        <v>76</v>
      </c>
    </row>
    <row r="11" spans="1:9" x14ac:dyDescent="0.25">
      <c r="A11" s="2">
        <v>10</v>
      </c>
      <c r="B11" s="2">
        <v>2</v>
      </c>
      <c r="C11" s="2">
        <f>VLOOKUP(H11,Sheet1!B:F,5,FALSE)</f>
        <v>3</v>
      </c>
      <c r="D11" s="2">
        <v>1</v>
      </c>
      <c r="E11" s="6" t="str">
        <f t="shared" si="0"/>
        <v>60</v>
      </c>
      <c r="F11" s="2">
        <v>32</v>
      </c>
      <c r="H11" s="2">
        <v>4099</v>
      </c>
      <c r="I11" s="7" t="s">
        <v>77</v>
      </c>
    </row>
    <row r="12" spans="1:9" x14ac:dyDescent="0.25">
      <c r="A12" s="2">
        <v>11</v>
      </c>
      <c r="B12" s="2">
        <v>3</v>
      </c>
      <c r="C12" s="2">
        <f>VLOOKUP(H12,Sheet1!B:F,5,FALSE)</f>
        <v>3</v>
      </c>
      <c r="D12" s="2">
        <v>1</v>
      </c>
      <c r="E12" s="6" t="str">
        <f t="shared" si="0"/>
        <v>150</v>
      </c>
      <c r="F12" s="2">
        <v>33</v>
      </c>
      <c r="H12" s="2">
        <v>4099</v>
      </c>
      <c r="I12" s="7" t="s">
        <v>73</v>
      </c>
    </row>
    <row r="13" spans="1:9" x14ac:dyDescent="0.25">
      <c r="A13" s="2">
        <v>12</v>
      </c>
      <c r="B13" s="2">
        <v>4</v>
      </c>
      <c r="C13" s="2">
        <f>VLOOKUP(H13,Sheet1!B:F,5,FALSE)</f>
        <v>3</v>
      </c>
      <c r="D13" s="2">
        <v>1</v>
      </c>
      <c r="E13" s="6" t="str">
        <f t="shared" si="0"/>
        <v>240</v>
      </c>
      <c r="F13" s="2">
        <v>34</v>
      </c>
      <c r="H13" s="2">
        <v>4099</v>
      </c>
      <c r="I13" s="7" t="s">
        <v>79</v>
      </c>
    </row>
    <row r="14" spans="1:9" x14ac:dyDescent="0.25">
      <c r="A14" s="2">
        <v>13</v>
      </c>
      <c r="B14" s="2">
        <v>1</v>
      </c>
      <c r="C14" s="2">
        <f>VLOOKUP(H14,Sheet1!B:F,5,FALSE)</f>
        <v>4</v>
      </c>
      <c r="D14" s="2">
        <v>1</v>
      </c>
      <c r="E14" s="6" t="str">
        <f t="shared" si="0"/>
        <v>45</v>
      </c>
      <c r="F14" s="2">
        <v>41</v>
      </c>
      <c r="H14" s="2">
        <v>4100</v>
      </c>
      <c r="I14" s="7" t="s">
        <v>104</v>
      </c>
    </row>
    <row r="15" spans="1:9" x14ac:dyDescent="0.25">
      <c r="A15" s="2">
        <v>14</v>
      </c>
      <c r="B15" s="2">
        <v>2</v>
      </c>
      <c r="C15" s="2">
        <f>VLOOKUP(H15,Sheet1!B:F,5,FALSE)</f>
        <v>4</v>
      </c>
      <c r="D15" s="2">
        <v>1</v>
      </c>
      <c r="E15" s="6" t="str">
        <f t="shared" si="0"/>
        <v>100</v>
      </c>
      <c r="F15" s="2">
        <v>42</v>
      </c>
      <c r="H15" s="2">
        <v>4100</v>
      </c>
      <c r="I15" s="7" t="s">
        <v>68</v>
      </c>
    </row>
    <row r="16" spans="1:9" x14ac:dyDescent="0.25">
      <c r="A16" s="2">
        <v>15</v>
      </c>
      <c r="B16" s="2">
        <v>3</v>
      </c>
      <c r="C16" s="2">
        <f>VLOOKUP(H16,Sheet1!B:F,5,FALSE)</f>
        <v>4</v>
      </c>
      <c r="D16" s="2">
        <v>1</v>
      </c>
      <c r="E16" s="6" t="str">
        <f t="shared" si="0"/>
        <v>200</v>
      </c>
      <c r="F16" s="2">
        <v>43</v>
      </c>
      <c r="H16" s="2">
        <v>4100</v>
      </c>
      <c r="I16" s="7" t="s">
        <v>69</v>
      </c>
    </row>
    <row r="17" spans="1:9" x14ac:dyDescent="0.25">
      <c r="A17" s="2">
        <v>16</v>
      </c>
      <c r="B17" s="2">
        <v>4</v>
      </c>
      <c r="C17" s="2">
        <f>VLOOKUP(H17,Sheet1!B:F,5,FALSE)</f>
        <v>4</v>
      </c>
      <c r="D17" s="2">
        <v>1</v>
      </c>
      <c r="E17" s="6" t="str">
        <f t="shared" si="0"/>
        <v>300</v>
      </c>
      <c r="F17" s="2">
        <v>44</v>
      </c>
      <c r="H17" s="2">
        <v>4100</v>
      </c>
      <c r="I17" s="7" t="s">
        <v>74</v>
      </c>
    </row>
    <row r="18" spans="1:9" x14ac:dyDescent="0.25">
      <c r="A18" s="2">
        <v>17</v>
      </c>
      <c r="B18" s="2">
        <v>1</v>
      </c>
      <c r="C18" s="2">
        <f>VLOOKUP(H18,Sheet1!B:F,5,FALSE)</f>
        <v>5</v>
      </c>
      <c r="D18" s="2">
        <v>1</v>
      </c>
      <c r="E18" s="6" t="str">
        <f t="shared" si="0"/>
        <v>45</v>
      </c>
      <c r="F18" s="2">
        <v>51</v>
      </c>
      <c r="H18" s="2">
        <v>4101</v>
      </c>
      <c r="I18" s="7" t="s">
        <v>104</v>
      </c>
    </row>
    <row r="19" spans="1:9" x14ac:dyDescent="0.25">
      <c r="A19" s="2">
        <v>18</v>
      </c>
      <c r="B19" s="2">
        <v>2</v>
      </c>
      <c r="C19" s="2">
        <f>VLOOKUP(H19,Sheet1!B:F,5,FALSE)</f>
        <v>5</v>
      </c>
      <c r="D19" s="2">
        <v>1</v>
      </c>
      <c r="E19" s="6" t="str">
        <f t="shared" si="0"/>
        <v>100</v>
      </c>
      <c r="F19" s="2">
        <v>52</v>
      </c>
      <c r="H19" s="2">
        <v>4101</v>
      </c>
      <c r="I19" s="7" t="s">
        <v>68</v>
      </c>
    </row>
    <row r="20" spans="1:9" x14ac:dyDescent="0.25">
      <c r="A20" s="2">
        <v>19</v>
      </c>
      <c r="B20" s="2">
        <v>3</v>
      </c>
      <c r="C20" s="2">
        <f>VLOOKUP(H20,Sheet1!B:F,5,FALSE)</f>
        <v>5</v>
      </c>
      <c r="D20" s="2">
        <v>1</v>
      </c>
      <c r="E20" s="6" t="str">
        <f t="shared" si="0"/>
        <v>200</v>
      </c>
      <c r="F20" s="2">
        <v>53</v>
      </c>
      <c r="H20" s="2">
        <v>4101</v>
      </c>
      <c r="I20" s="7" t="s">
        <v>69</v>
      </c>
    </row>
    <row r="21" spans="1:9" x14ac:dyDescent="0.25">
      <c r="A21" s="2">
        <v>20</v>
      </c>
      <c r="B21" s="2">
        <v>4</v>
      </c>
      <c r="C21" s="2">
        <f>VLOOKUP(H21,Sheet1!B:F,5,FALSE)</f>
        <v>5</v>
      </c>
      <c r="D21" s="2">
        <v>1</v>
      </c>
      <c r="E21" s="6" t="str">
        <f t="shared" si="0"/>
        <v>300</v>
      </c>
      <c r="F21" s="2">
        <v>54</v>
      </c>
      <c r="H21" s="2">
        <v>4101</v>
      </c>
      <c r="I21" s="7" t="s">
        <v>74</v>
      </c>
    </row>
    <row r="22" spans="1:9" x14ac:dyDescent="0.25">
      <c r="A22" s="2">
        <v>21</v>
      </c>
      <c r="B22" s="2">
        <v>1</v>
      </c>
      <c r="C22" s="2">
        <f>VLOOKUP(H22,Sheet1!B:F,5,FALSE)</f>
        <v>7</v>
      </c>
      <c r="D22" s="2">
        <v>1</v>
      </c>
      <c r="E22" s="6" t="str">
        <f t="shared" si="0"/>
        <v>5</v>
      </c>
      <c r="F22" s="2">
        <v>71</v>
      </c>
      <c r="H22" s="2">
        <v>4103</v>
      </c>
      <c r="I22" s="7" t="s">
        <v>80</v>
      </c>
    </row>
    <row r="23" spans="1:9" x14ac:dyDescent="0.25">
      <c r="A23" s="2">
        <v>22</v>
      </c>
      <c r="B23" s="2">
        <v>2</v>
      </c>
      <c r="C23" s="2">
        <f>VLOOKUP(H23,Sheet1!B:F,5,FALSE)</f>
        <v>7</v>
      </c>
      <c r="D23" s="2">
        <v>1</v>
      </c>
      <c r="E23" s="6" t="str">
        <f t="shared" si="0"/>
        <v>10</v>
      </c>
      <c r="F23" s="2">
        <v>72</v>
      </c>
      <c r="H23" s="2">
        <v>4103</v>
      </c>
      <c r="I23" s="7" t="s">
        <v>66</v>
      </c>
    </row>
    <row r="24" spans="1:9" x14ac:dyDescent="0.25">
      <c r="A24" s="2">
        <v>23</v>
      </c>
      <c r="B24" s="2">
        <v>3</v>
      </c>
      <c r="C24" s="2">
        <f>VLOOKUP(H24,Sheet1!B:F,5,FALSE)</f>
        <v>7</v>
      </c>
      <c r="D24" s="2">
        <v>1</v>
      </c>
      <c r="E24" s="6" t="str">
        <f t="shared" si="0"/>
        <v>15</v>
      </c>
      <c r="F24" s="2">
        <v>73</v>
      </c>
      <c r="H24" s="2">
        <v>4103</v>
      </c>
      <c r="I24" s="7" t="s">
        <v>71</v>
      </c>
    </row>
    <row r="25" spans="1:9" x14ac:dyDescent="0.25">
      <c r="A25" s="2">
        <v>24</v>
      </c>
      <c r="B25" s="2">
        <v>4</v>
      </c>
      <c r="C25" s="2">
        <f>VLOOKUP(H25,Sheet1!B:F,5,FALSE)</f>
        <v>7</v>
      </c>
      <c r="D25" s="2">
        <v>1</v>
      </c>
      <c r="E25" s="6" t="str">
        <f t="shared" si="0"/>
        <v>20</v>
      </c>
      <c r="F25" s="2">
        <v>74</v>
      </c>
      <c r="H25" s="2">
        <v>4103</v>
      </c>
      <c r="I25" s="7" t="s">
        <v>97</v>
      </c>
    </row>
    <row r="26" spans="1:9" x14ac:dyDescent="0.25">
      <c r="A26" s="2">
        <v>25</v>
      </c>
      <c r="B26" s="2">
        <v>1</v>
      </c>
      <c r="C26" s="2">
        <f>VLOOKUP(H26,Sheet1!B:F,5,FALSE)</f>
        <v>8</v>
      </c>
      <c r="D26" s="2">
        <v>1</v>
      </c>
      <c r="E26" s="6" t="str">
        <f t="shared" si="0"/>
        <v>20</v>
      </c>
      <c r="F26" s="2">
        <v>81</v>
      </c>
      <c r="H26" s="2">
        <v>4104</v>
      </c>
      <c r="I26" s="7" t="s">
        <v>97</v>
      </c>
    </row>
    <row r="27" spans="1:9" x14ac:dyDescent="0.25">
      <c r="A27" s="2">
        <v>26</v>
      </c>
      <c r="B27" s="2">
        <v>2</v>
      </c>
      <c r="C27" s="2">
        <f>VLOOKUP(H27,Sheet1!B:F,5,FALSE)</f>
        <v>8</v>
      </c>
      <c r="D27" s="2">
        <v>1</v>
      </c>
      <c r="E27" s="6" t="str">
        <f t="shared" si="0"/>
        <v>50</v>
      </c>
      <c r="F27" s="2">
        <v>82</v>
      </c>
      <c r="H27" s="2">
        <v>4104</v>
      </c>
      <c r="I27" s="7" t="s">
        <v>67</v>
      </c>
    </row>
    <row r="28" spans="1:9" x14ac:dyDescent="0.25">
      <c r="A28" s="2">
        <v>27</v>
      </c>
      <c r="B28" s="2">
        <v>3</v>
      </c>
      <c r="C28" s="2">
        <f>VLOOKUP(H28,Sheet1!B:F,5,FALSE)</f>
        <v>8</v>
      </c>
      <c r="D28" s="2">
        <v>1</v>
      </c>
      <c r="E28" s="6" t="str">
        <f t="shared" si="0"/>
        <v>100</v>
      </c>
      <c r="F28" s="2">
        <v>83</v>
      </c>
      <c r="H28" s="2">
        <v>4104</v>
      </c>
      <c r="I28" s="7" t="s">
        <v>68</v>
      </c>
    </row>
    <row r="29" spans="1:9" x14ac:dyDescent="0.25">
      <c r="A29" s="2">
        <v>28</v>
      </c>
      <c r="B29" s="2">
        <v>1</v>
      </c>
      <c r="C29" s="2">
        <f>VLOOKUP(H29,Sheet1!B:F,5,FALSE)</f>
        <v>9</v>
      </c>
      <c r="D29" s="2">
        <v>1</v>
      </c>
      <c r="E29" s="6" t="str">
        <f t="shared" si="0"/>
        <v>10</v>
      </c>
      <c r="F29" s="2">
        <v>91</v>
      </c>
      <c r="H29" s="2">
        <v>4105</v>
      </c>
      <c r="I29" s="7" t="s">
        <v>66</v>
      </c>
    </row>
    <row r="30" spans="1:9" x14ac:dyDescent="0.25">
      <c r="A30" s="2">
        <v>29</v>
      </c>
      <c r="B30" s="2">
        <v>2</v>
      </c>
      <c r="C30" s="2">
        <f>VLOOKUP(H30,Sheet1!B:F,5,FALSE)</f>
        <v>9</v>
      </c>
      <c r="D30" s="2">
        <v>1</v>
      </c>
      <c r="E30" s="6" t="str">
        <f t="shared" si="0"/>
        <v>25</v>
      </c>
      <c r="F30" s="2">
        <v>92</v>
      </c>
      <c r="H30" s="2">
        <v>4105</v>
      </c>
      <c r="I30" s="7" t="s">
        <v>81</v>
      </c>
    </row>
    <row r="31" spans="1:9" x14ac:dyDescent="0.25">
      <c r="A31" s="2">
        <v>30</v>
      </c>
      <c r="B31" s="2">
        <v>3</v>
      </c>
      <c r="C31" s="2">
        <f>VLOOKUP(H31,Sheet1!B:F,5,FALSE)</f>
        <v>9</v>
      </c>
      <c r="D31" s="2">
        <v>1</v>
      </c>
      <c r="E31" s="6" t="str">
        <f t="shared" si="0"/>
        <v>50</v>
      </c>
      <c r="F31" s="2">
        <v>93</v>
      </c>
      <c r="H31" s="2">
        <v>4105</v>
      </c>
      <c r="I31" s="7" t="s">
        <v>67</v>
      </c>
    </row>
    <row r="32" spans="1:9" x14ac:dyDescent="0.25">
      <c r="A32" s="2">
        <v>31</v>
      </c>
      <c r="B32" s="2">
        <v>1</v>
      </c>
      <c r="C32" s="2">
        <f>VLOOKUP(H32,Sheet1!B:F,5,FALSE)</f>
        <v>10</v>
      </c>
      <c r="D32" s="2">
        <v>1</v>
      </c>
      <c r="E32" s="6" t="str">
        <f t="shared" si="0"/>
        <v>50</v>
      </c>
      <c r="F32" s="2">
        <v>101</v>
      </c>
      <c r="H32" s="2">
        <v>4106</v>
      </c>
      <c r="I32" s="7" t="s">
        <v>67</v>
      </c>
    </row>
    <row r="33" spans="1:9" x14ac:dyDescent="0.25">
      <c r="A33" s="2">
        <v>32</v>
      </c>
      <c r="B33" s="2">
        <v>2</v>
      </c>
      <c r="C33" s="2">
        <f>VLOOKUP(H33,Sheet1!B:F,5,FALSE)</f>
        <v>10</v>
      </c>
      <c r="D33" s="2">
        <v>1</v>
      </c>
      <c r="E33" s="6" t="str">
        <f t="shared" si="0"/>
        <v>100</v>
      </c>
      <c r="F33" s="2">
        <v>102</v>
      </c>
      <c r="H33" s="2">
        <v>4106</v>
      </c>
      <c r="I33" s="7" t="s">
        <v>68</v>
      </c>
    </row>
    <row r="34" spans="1:9" x14ac:dyDescent="0.25">
      <c r="A34" s="2">
        <v>33</v>
      </c>
      <c r="B34" s="2">
        <v>3</v>
      </c>
      <c r="C34" s="2">
        <f>VLOOKUP(H34,Sheet1!B:F,5,FALSE)</f>
        <v>10</v>
      </c>
      <c r="D34" s="2">
        <v>1</v>
      </c>
      <c r="E34" s="6" t="str">
        <f t="shared" si="0"/>
        <v>150</v>
      </c>
      <c r="F34" s="2">
        <v>103</v>
      </c>
      <c r="H34" s="2">
        <v>4106</v>
      </c>
      <c r="I34" s="7" t="s">
        <v>73</v>
      </c>
    </row>
    <row r="35" spans="1:9" x14ac:dyDescent="0.25">
      <c r="A35" s="2">
        <v>34</v>
      </c>
      <c r="B35" s="2">
        <v>1</v>
      </c>
      <c r="C35" s="2">
        <f>VLOOKUP(H35,Sheet1!B:F,5,FALSE)</f>
        <v>11</v>
      </c>
      <c r="D35" s="2">
        <v>2</v>
      </c>
      <c r="E35" s="6">
        <f t="shared" si="0"/>
        <v>20</v>
      </c>
      <c r="F35" s="2">
        <v>111</v>
      </c>
      <c r="H35" s="2">
        <v>4110</v>
      </c>
      <c r="I35" s="7" t="s">
        <v>89</v>
      </c>
    </row>
    <row r="36" spans="1:9" x14ac:dyDescent="0.25">
      <c r="A36" s="2">
        <v>35</v>
      </c>
      <c r="B36" s="2">
        <v>2</v>
      </c>
      <c r="C36" s="2">
        <f>VLOOKUP(H36,Sheet1!B:F,5,FALSE)</f>
        <v>11</v>
      </c>
      <c r="D36" s="2">
        <v>2</v>
      </c>
      <c r="E36" s="6">
        <f t="shared" si="0"/>
        <v>30</v>
      </c>
      <c r="F36" s="2">
        <v>112</v>
      </c>
      <c r="H36" s="2">
        <v>4110</v>
      </c>
      <c r="I36" s="7" t="s">
        <v>84</v>
      </c>
    </row>
    <row r="37" spans="1:9" x14ac:dyDescent="0.25">
      <c r="A37" s="2">
        <v>36</v>
      </c>
      <c r="B37" s="2">
        <v>1</v>
      </c>
      <c r="C37" s="2">
        <f>VLOOKUP(H37,Sheet1!B:F,5,FALSE)</f>
        <v>12</v>
      </c>
      <c r="D37" s="2">
        <v>2</v>
      </c>
      <c r="E37" s="6">
        <f t="shared" si="0"/>
        <v>20</v>
      </c>
      <c r="F37" s="2">
        <v>121</v>
      </c>
      <c r="H37" s="2">
        <v>4111</v>
      </c>
      <c r="I37" s="7" t="s">
        <v>89</v>
      </c>
    </row>
    <row r="38" spans="1:9" x14ac:dyDescent="0.25">
      <c r="A38" s="2">
        <v>37</v>
      </c>
      <c r="B38" s="2">
        <v>2</v>
      </c>
      <c r="C38" s="2">
        <f>VLOOKUP(H38,Sheet1!B:F,5,FALSE)</f>
        <v>12</v>
      </c>
      <c r="D38" s="2">
        <v>2</v>
      </c>
      <c r="E38" s="6">
        <f t="shared" si="0"/>
        <v>30</v>
      </c>
      <c r="F38" s="2">
        <v>122</v>
      </c>
      <c r="H38" s="2">
        <v>4111</v>
      </c>
      <c r="I38" s="7" t="s">
        <v>84</v>
      </c>
    </row>
    <row r="39" spans="1:9" x14ac:dyDescent="0.25">
      <c r="A39" s="2">
        <v>38</v>
      </c>
      <c r="B39" s="2">
        <v>1</v>
      </c>
      <c r="C39" s="2">
        <f>VLOOKUP(H39,Sheet1!B:F,5,FALSE)</f>
        <v>13</v>
      </c>
      <c r="D39" s="2">
        <v>2</v>
      </c>
      <c r="E39" s="6">
        <f t="shared" si="0"/>
        <v>20</v>
      </c>
      <c r="F39" s="2">
        <v>131</v>
      </c>
      <c r="H39" s="2">
        <v>4112</v>
      </c>
      <c r="I39" s="7" t="s">
        <v>89</v>
      </c>
    </row>
    <row r="40" spans="1:9" x14ac:dyDescent="0.25">
      <c r="A40" s="2">
        <v>39</v>
      </c>
      <c r="B40" s="2">
        <v>2</v>
      </c>
      <c r="C40" s="2">
        <f>VLOOKUP(H40,Sheet1!B:F,5,FALSE)</f>
        <v>13</v>
      </c>
      <c r="D40" s="2">
        <v>2</v>
      </c>
      <c r="E40" s="6">
        <f t="shared" si="0"/>
        <v>50</v>
      </c>
      <c r="F40" s="2">
        <v>132</v>
      </c>
      <c r="H40" s="2">
        <v>4112</v>
      </c>
      <c r="I40" s="7" t="s">
        <v>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PilotAbility</vt:lpstr>
      <vt:lpstr>SupportBadge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克浩</dc:creator>
  <cp:lastModifiedBy>野村 克浩</cp:lastModifiedBy>
  <dcterms:created xsi:type="dcterms:W3CDTF">2024-07-17T02:01:54Z</dcterms:created>
  <dcterms:modified xsi:type="dcterms:W3CDTF">2024-07-17T11:11:31Z</dcterms:modified>
</cp:coreProperties>
</file>